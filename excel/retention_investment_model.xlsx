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Scenario" sheetId="3" state="visible" r:id="rId5"/>
    <sheet name="KPI_Summary" sheetId="4" state="visible" r:id="rId6"/>
    <sheet name="Rescue_Call_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ASSUMPTION: share of probability-weighted revenue at risk retained because of the intervention. Validate with a randomised hold-out group.</t>
        </r>
      </text>
    </comment>
  </commentList>
</comments>
</file>

<file path=xl/sharedStrings.xml><?xml version="1.0" encoding="utf-8"?>
<sst xmlns="http://schemas.openxmlformats.org/spreadsheetml/2006/main" count="469" uniqueCount="94">
  <si>
    <t xml:space="preserve">Retention Investment Scenario Model</t>
  </si>
  <si>
    <t xml:space="preserve">Source: E-Commerce Customer Intelligence &amp; LTV Engine (this repository). Data: UCI Online Retail II, 1 Dec 2009 – 9 Dec 2011.</t>
  </si>
  <si>
    <t xml:space="preserve">HOW TO USE</t>
  </si>
  <si>
    <t xml:space="preserve">1. Edit ONLY yellow cells (blue text) on the 'Assumptions' and 'Scenario' sheets.</t>
  </si>
  <si>
    <t xml:space="preserve">2. All other numbers are formulas and update automatically.</t>
  </si>
  <si>
    <t xml:space="preserve">WHAT IS CALCULATED vs ASSUMED</t>
  </si>
  <si>
    <t xml:space="preserve">CALCULATED from data: customers, trailing-12m revenue, revenue at risk (= trailing-12m revenue x modelled 12-month churn probability).</t>
  </si>
  <si>
    <t xml:space="preserve">ASSUMED (placeholders — replace with company figures): gross margin, save rate per segment, cost per contact. The dataset contains no cost, margin or campaign data.</t>
  </si>
  <si>
    <t xml:space="preserve">LIMITATIONS</t>
  </si>
  <si>
    <t xml:space="preserve">Revenue at risk is an exposure measure, not a loss forecast. It excludes spend decline by customers who stay (net revenue retention was 81%), so the true retention opportunity is larger.</t>
  </si>
  <si>
    <t xml:space="preserve">Customer metrics cover identified customers only (~85% of merchandise revenue).</t>
  </si>
  <si>
    <t xml:space="preserve">Save rates are hypotheses to be TESTED (hold-out control group), not facts.</t>
  </si>
  <si>
    <t xml:space="preserve">Assumption</t>
  </si>
  <si>
    <t xml:space="preserve">Value</t>
  </si>
  <si>
    <t xml:space="preserve">Note</t>
  </si>
  <si>
    <t xml:space="preserve">Gross margin (%)</t>
  </si>
  <si>
    <t xml:space="preserve">ASSUMPTION — not in data. Replace with Finance's gross margin.</t>
  </si>
  <si>
    <t xml:space="preserve">Programme overhead (£, fixed)</t>
  </si>
  <si>
    <t xml:space="preserve">ASSUMPTION — set-up cost (CRM configuration, analyst time).</t>
  </si>
  <si>
    <t xml:space="preserve">Management segment</t>
  </si>
  <si>
    <t xml:space="preserve">Customers</t>
  </si>
  <si>
    <t xml:space="preserve">Trailing-12m revenue (£)</t>
  </si>
  <si>
    <t xml:space="preserve">Revenue at risk (£)</t>
  </si>
  <si>
    <t xml:space="preserve">Save rate (assumption)</t>
  </si>
  <si>
    <t xml:space="preserve">Accounts contacted</t>
  </si>
  <si>
    <t xml:space="preserve">Cost per contact (£, assumption)</t>
  </si>
  <si>
    <t xml:space="preserve">Recovered revenue (£)</t>
  </si>
  <si>
    <t xml:space="preserve">Recovered gross profit (£)</t>
  </si>
  <si>
    <t xml:space="preserve">Programme cost (£)</t>
  </si>
  <si>
    <t xml:space="preserve">Net benefit (£)</t>
  </si>
  <si>
    <t xml:space="preserve">ROI (x)</t>
  </si>
  <si>
    <t xml:space="preserve">1. Protect - Key Accounts</t>
  </si>
  <si>
    <t xml:space="preserve">2. Rescue - High Value at Risk</t>
  </si>
  <si>
    <t xml:space="preserve">3. Develop - Core Growth</t>
  </si>
  <si>
    <t xml:space="preserve">4. Win Back - Core at Risk</t>
  </si>
  <si>
    <t xml:space="preserve">5. Nurture - New Customers</t>
  </si>
  <si>
    <t xml:space="preserve">6. Automate - Low Value Active</t>
  </si>
  <si>
    <t xml:space="preserve">7. Deprioritise - Low Value Lapsing</t>
  </si>
  <si>
    <t xml:space="preserve">Total (before overhead)</t>
  </si>
  <si>
    <t xml:space="preserve">Less: programme overhead</t>
  </si>
  <si>
    <t xml:space="preserve">Net benefit after overhead</t>
  </si>
  <si>
    <t xml:space="preserve">Break-even save rate, Rescue segment</t>
  </si>
  <si>
    <t xml:space="preserve">&lt;- save rate at which Rescue outreach pays for itself</t>
  </si>
  <si>
    <t xml:space="preserve">KPI (identified + guest unless stated)</t>
  </si>
  <si>
    <t xml:space="preserve">FY2010 (Dec09–Nov10)</t>
  </si>
  <si>
    <t xml:space="preserve">FY2011 (Dec10–Nov11)</t>
  </si>
  <si>
    <t xml:space="preserve">Change</t>
  </si>
  <si>
    <t xml:space="preserve">Net merchandise revenue (£)</t>
  </si>
  <si>
    <t xml:space="preserve">Identified-customer sales (£)</t>
  </si>
  <si>
    <t xml:space="preserve">Guest sales (£)</t>
  </si>
  <si>
    <t xml:space="preserve">Active identified customers</t>
  </si>
  <si>
    <t xml:space="preserve">Orders per customer</t>
  </si>
  <si>
    <t xml:space="preserve">AOV, identified (£)</t>
  </si>
  <si>
    <t xml:space="preserve">Return rate</t>
  </si>
  <si>
    <t xml:space="preserve">Customer retention FY10→FY11</t>
  </si>
  <si>
    <t xml:space="preserve">Net revenue retention FY10→FY11</t>
  </si>
  <si>
    <t xml:space="preserve">Source: reports/tables/sql_kpi_fy_comparison.csv, sql_kpi_yoy_retention.csv (calculated from data)</t>
  </si>
  <si>
    <t xml:space="preserve">Priority Rank</t>
  </si>
  <si>
    <t xml:space="preserve">Customer Id</t>
  </si>
  <si>
    <t xml:space="preserve">Country</t>
  </si>
  <si>
    <t xml:space="preserve">Revenue T12M</t>
  </si>
  <si>
    <t xml:space="preserve">Churn Prob 12M</t>
  </si>
  <si>
    <t xml:space="preserve">Revenue At Risk</t>
  </si>
  <si>
    <t xml:space="preserve">Clv 12M</t>
  </si>
  <si>
    <t xml:space="preserve">Recency Days</t>
  </si>
  <si>
    <t xml:space="preserve">Avg Gap Days</t>
  </si>
  <si>
    <t xml:space="preserve">Cadence Status</t>
  </si>
  <si>
    <t xml:space="preserve">At Risk Reason</t>
  </si>
  <si>
    <t xml:space="preserve">Rfm Segment</t>
  </si>
  <si>
    <t xml:space="preserve">United Kingdom</t>
  </si>
  <si>
    <t xml:space="preserve">Lapsed</t>
  </si>
  <si>
    <t xml:space="preserve">Overdue vs own buying cadence</t>
  </si>
  <si>
    <t xml:space="preserve">Loyal Customers</t>
  </si>
  <si>
    <t xml:space="preserve">Insufficient history</t>
  </si>
  <si>
    <t xml:space="preserve">Elevated churn probability</t>
  </si>
  <si>
    <t xml:space="preserve">Hibernating</t>
  </si>
  <si>
    <t xml:space="preserve">Slipping</t>
  </si>
  <si>
    <t xml:space="preserve">Germany</t>
  </si>
  <si>
    <t xml:space="preserve">Elevated probability + overdue on cadence</t>
  </si>
  <si>
    <t xml:space="preserve">Cannot Lose Them</t>
  </si>
  <si>
    <t xml:space="preserve">France</t>
  </si>
  <si>
    <t xml:space="preserve">Israel</t>
  </si>
  <si>
    <t xml:space="preserve">About to Sleep</t>
  </si>
  <si>
    <t xml:space="preserve">EIRE</t>
  </si>
  <si>
    <t xml:space="preserve">Switzerland</t>
  </si>
  <si>
    <t xml:space="preserve">High churn probability</t>
  </si>
  <si>
    <t xml:space="preserve">On track</t>
  </si>
  <si>
    <t xml:space="preserve">Potential Loyalists</t>
  </si>
  <si>
    <t xml:space="preserve">Japan</t>
  </si>
  <si>
    <t xml:space="preserve">At Risk</t>
  </si>
  <si>
    <t xml:space="preserve">Spain</t>
  </si>
  <si>
    <t xml:space="preserve">Greece</t>
  </si>
  <si>
    <t xml:space="preserve">Need Attention</t>
  </si>
  <si>
    <t xml:space="preserve">Canada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</si>
</sst>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\£#,##0;&quot;(£&quot;#,##0\);\-"/>
    <numFmt numFmtId="167" formatCode="#,##0"/>
    <numFmt numFmtId="168" formatCode="\£#,##0.00"/>
    <numFmt numFmtId="169" formatCode="0.0\x"/>
    <numFmt numFmtId="170" formatCode="0.00"/>
    <numFmt numFmtId="171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1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3" t="s">
        <v>12</v>
      </c>
      <c r="B1" s="3" t="s">
        <v>13</v>
      </c>
      <c r="C1" s="3" t="s">
        <v>14</v>
      </c>
    </row>
    <row r="2" customFormat="false" ht="15" hidden="false" customHeight="false" outlineLevel="0" collapsed="false">
      <c r="A2" s="4" t="s">
        <v>15</v>
      </c>
      <c r="B2" s="5" t="n">
        <v>0.4</v>
      </c>
      <c r="C2" s="4" t="s">
        <v>16</v>
      </c>
    </row>
    <row r="3" customFormat="false" ht="15" hidden="false" customHeight="false" outlineLevel="0" collapsed="false">
      <c r="A3" s="4" t="s">
        <v>17</v>
      </c>
      <c r="B3" s="6" t="n">
        <v>5000</v>
      </c>
      <c r="C3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1" min="10" style="0" width="15"/>
    <col collapsed="false" customWidth="true" hidden="false" outlineLevel="0" max="12" min="12" style="0" width="9"/>
  </cols>
  <sheetData>
    <row r="1" customFormat="false" ht="45" hidden="false" customHeight="true" outlineLevel="0" collapsed="false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</row>
    <row r="2" customFormat="false" ht="15" hidden="false" customHeight="false" outlineLevel="0" collapsed="false">
      <c r="A2" s="2" t="s">
        <v>31</v>
      </c>
      <c r="B2" s="7" t="n">
        <v>710</v>
      </c>
      <c r="C2" s="8" t="n">
        <v>5240557.38</v>
      </c>
      <c r="D2" s="8" t="n">
        <v>174849.87</v>
      </c>
      <c r="E2" s="5" t="n">
        <v>0.1</v>
      </c>
      <c r="F2" s="9" t="n">
        <f aca="false">B2</f>
        <v>710</v>
      </c>
      <c r="G2" s="10" t="n">
        <v>40</v>
      </c>
      <c r="H2" s="11" t="n">
        <f aca="false">D2*E2</f>
        <v>17484.987</v>
      </c>
      <c r="I2" s="11" t="n">
        <f aca="false">H2*Assumptions!$B$2</f>
        <v>6993.9948</v>
      </c>
      <c r="J2" s="11" t="n">
        <f aca="false">F2*G2</f>
        <v>28400</v>
      </c>
      <c r="K2" s="11" t="n">
        <f aca="false">I2-J2</f>
        <v>-21406.0052</v>
      </c>
      <c r="L2" s="12" t="n">
        <f aca="false">IF(J2=0,"n/a",K2/J2)</f>
        <v>-0.753732577464789</v>
      </c>
    </row>
    <row r="3" customFormat="false" ht="15" hidden="false" customHeight="false" outlineLevel="0" collapsed="false">
      <c r="A3" s="2" t="s">
        <v>32</v>
      </c>
      <c r="B3" s="7" t="n">
        <v>107</v>
      </c>
      <c r="C3" s="8" t="n">
        <v>472453.71</v>
      </c>
      <c r="D3" s="8" t="n">
        <v>91536.36</v>
      </c>
      <c r="E3" s="5" t="n">
        <v>0.25</v>
      </c>
      <c r="F3" s="9" t="n">
        <f aca="false">B3</f>
        <v>107</v>
      </c>
      <c r="G3" s="10" t="n">
        <v>40</v>
      </c>
      <c r="H3" s="11" t="n">
        <f aca="false">D3*E3</f>
        <v>22884.09</v>
      </c>
      <c r="I3" s="11" t="n">
        <f aca="false">H3*Assumptions!$B$2</f>
        <v>9153.636</v>
      </c>
      <c r="J3" s="11" t="n">
        <f aca="false">F3*G3</f>
        <v>4280</v>
      </c>
      <c r="K3" s="11" t="n">
        <f aca="false">I3-J3</f>
        <v>4873.636</v>
      </c>
      <c r="L3" s="12" t="n">
        <f aca="false">IF(J3=0,"n/a",K3/J3)</f>
        <v>1.1387</v>
      </c>
    </row>
    <row r="4" customFormat="false" ht="15" hidden="false" customHeight="false" outlineLevel="0" collapsed="false">
      <c r="A4" s="2" t="s">
        <v>33</v>
      </c>
      <c r="B4" s="7" t="n">
        <v>1020</v>
      </c>
      <c r="C4" s="8" t="n">
        <v>1194878.19</v>
      </c>
      <c r="D4" s="8" t="n">
        <v>217267.61</v>
      </c>
      <c r="E4" s="5" t="n">
        <v>0.1</v>
      </c>
      <c r="F4" s="9" t="n">
        <f aca="false">B4</f>
        <v>1020</v>
      </c>
      <c r="G4" s="10" t="n">
        <v>2</v>
      </c>
      <c r="H4" s="11" t="n">
        <f aca="false">D4*E4</f>
        <v>21726.761</v>
      </c>
      <c r="I4" s="11" t="n">
        <f aca="false">H4*Assumptions!$B$2</f>
        <v>8690.7044</v>
      </c>
      <c r="J4" s="11" t="n">
        <f aca="false">F4*G4</f>
        <v>2040</v>
      </c>
      <c r="K4" s="11" t="n">
        <f aca="false">I4-J4</f>
        <v>6650.7044</v>
      </c>
      <c r="L4" s="12" t="n">
        <f aca="false">IF(J4=0,"n/a",K4/J4)</f>
        <v>3.26014921568628</v>
      </c>
    </row>
    <row r="5" customFormat="false" ht="15" hidden="false" customHeight="false" outlineLevel="0" collapsed="false">
      <c r="A5" s="2" t="s">
        <v>34</v>
      </c>
      <c r="B5" s="7" t="n">
        <v>108</v>
      </c>
      <c r="C5" s="8" t="n">
        <v>112918.24</v>
      </c>
      <c r="D5" s="8" t="n">
        <v>53555.93</v>
      </c>
      <c r="E5" s="5" t="n">
        <v>0.15</v>
      </c>
      <c r="F5" s="9" t="n">
        <f aca="false">B5</f>
        <v>108</v>
      </c>
      <c r="G5" s="10" t="n">
        <v>2</v>
      </c>
      <c r="H5" s="11" t="n">
        <f aca="false">D5*E5</f>
        <v>8033.3895</v>
      </c>
      <c r="I5" s="11" t="n">
        <f aca="false">H5*Assumptions!$B$2</f>
        <v>3213.3558</v>
      </c>
      <c r="J5" s="11" t="n">
        <f aca="false">F5*G5</f>
        <v>216</v>
      </c>
      <c r="K5" s="11" t="n">
        <f aca="false">I5-J5</f>
        <v>2997.3558</v>
      </c>
      <c r="L5" s="12" t="n">
        <f aca="false">IF(J5=0,"n/a",K5/J5)</f>
        <v>13.8766472222222</v>
      </c>
    </row>
    <row r="6" customFormat="false" ht="15" hidden="false" customHeight="false" outlineLevel="0" collapsed="false">
      <c r="A6" s="2" t="s">
        <v>35</v>
      </c>
      <c r="B6" s="7" t="n">
        <v>591</v>
      </c>
      <c r="C6" s="8" t="n">
        <v>379899.44</v>
      </c>
      <c r="D6" s="8" t="n">
        <v>112702.9</v>
      </c>
      <c r="E6" s="5" t="n">
        <v>0.1</v>
      </c>
      <c r="F6" s="9" t="n">
        <f aca="false">B6</f>
        <v>591</v>
      </c>
      <c r="G6" s="10" t="n">
        <v>2</v>
      </c>
      <c r="H6" s="11" t="n">
        <f aca="false">D6*E6</f>
        <v>11270.29</v>
      </c>
      <c r="I6" s="11" t="n">
        <f aca="false">H6*Assumptions!$B$2</f>
        <v>4508.116</v>
      </c>
      <c r="J6" s="11" t="n">
        <f aca="false">F6*G6</f>
        <v>1182</v>
      </c>
      <c r="K6" s="11" t="n">
        <f aca="false">I6-J6</f>
        <v>3326.116</v>
      </c>
      <c r="L6" s="12" t="n">
        <f aca="false">IF(J6=0,"n/a",K6/J6)</f>
        <v>2.81397292724196</v>
      </c>
    </row>
    <row r="7" customFormat="false" ht="15" hidden="false" customHeight="false" outlineLevel="0" collapsed="false">
      <c r="A7" s="2" t="s">
        <v>36</v>
      </c>
      <c r="B7" s="7" t="n">
        <v>834</v>
      </c>
      <c r="C7" s="8" t="n">
        <v>324205.87</v>
      </c>
      <c r="D7" s="8" t="n">
        <v>106920.3</v>
      </c>
      <c r="E7" s="5" t="n">
        <v>0.05</v>
      </c>
      <c r="F7" s="9" t="n">
        <f aca="false">B7</f>
        <v>834</v>
      </c>
      <c r="G7" s="10" t="n">
        <v>0.5</v>
      </c>
      <c r="H7" s="11" t="n">
        <f aca="false">D7*E7</f>
        <v>5346.015</v>
      </c>
      <c r="I7" s="11" t="n">
        <f aca="false">H7*Assumptions!$B$2</f>
        <v>2138.406</v>
      </c>
      <c r="J7" s="11" t="n">
        <f aca="false">F7*G7</f>
        <v>417</v>
      </c>
      <c r="K7" s="11" t="n">
        <f aca="false">I7-J7</f>
        <v>1721.406</v>
      </c>
      <c r="L7" s="12" t="n">
        <f aca="false">IF(J7=0,"n/a",K7/J7)</f>
        <v>4.12807194244604</v>
      </c>
    </row>
    <row r="8" customFormat="false" ht="15" hidden="false" customHeight="false" outlineLevel="0" collapsed="false">
      <c r="A8" s="2" t="s">
        <v>37</v>
      </c>
      <c r="B8" s="7" t="n">
        <v>880</v>
      </c>
      <c r="C8" s="8" t="n">
        <v>208638.46</v>
      </c>
      <c r="D8" s="8" t="n">
        <v>130488.67</v>
      </c>
      <c r="E8" s="5" t="n">
        <v>0.03</v>
      </c>
      <c r="F8" s="9" t="n">
        <f aca="false">B8</f>
        <v>880</v>
      </c>
      <c r="G8" s="10" t="n">
        <v>0.5</v>
      </c>
      <c r="H8" s="11" t="n">
        <f aca="false">D8*E8</f>
        <v>3914.6601</v>
      </c>
      <c r="I8" s="11" t="n">
        <f aca="false">H8*Assumptions!$B$2</f>
        <v>1565.86404</v>
      </c>
      <c r="J8" s="11" t="n">
        <f aca="false">F8*G8</f>
        <v>440</v>
      </c>
      <c r="K8" s="11" t="n">
        <f aca="false">I8-J8</f>
        <v>1125.86404</v>
      </c>
      <c r="L8" s="12" t="n">
        <f aca="false">IF(J8=0,"n/a",K8/J8)</f>
        <v>2.55878190909091</v>
      </c>
    </row>
    <row r="9" customFormat="false" ht="15" hidden="false" customHeight="false" outlineLevel="0" collapsed="false">
      <c r="A9" s="1" t="s">
        <v>38</v>
      </c>
      <c r="B9" s="13" t="n">
        <f aca="false">SUM(B2:B8)</f>
        <v>4250</v>
      </c>
      <c r="C9" s="14" t="n">
        <f aca="false">SUM(C2:C8)</f>
        <v>7933551.29</v>
      </c>
      <c r="D9" s="14" t="n">
        <f aca="false">SUM(D2:D8)</f>
        <v>887321.64</v>
      </c>
      <c r="E9" s="4"/>
      <c r="F9" s="13" t="n">
        <f aca="false">SUM(F2:F8)</f>
        <v>4250</v>
      </c>
      <c r="G9" s="4"/>
      <c r="H9" s="14" t="n">
        <f aca="false">SUM(H2:H8)</f>
        <v>90660.1926</v>
      </c>
      <c r="I9" s="14" t="n">
        <f aca="false">SUM(I2:I8)</f>
        <v>36264.07704</v>
      </c>
      <c r="J9" s="14" t="n">
        <f aca="false">SUM(J2:J8)</f>
        <v>36975</v>
      </c>
      <c r="K9" s="14" t="n">
        <f aca="false">SUM(K2:K8)</f>
        <v>-710.922959999998</v>
      </c>
      <c r="L9" s="4"/>
    </row>
    <row r="10" customFormat="false" ht="15" hidden="false" customHeight="false" outlineLevel="0" collapsed="false">
      <c r="A10" s="2" t="s">
        <v>39</v>
      </c>
      <c r="B10" s="4"/>
      <c r="C10" s="4"/>
      <c r="D10" s="4"/>
      <c r="E10" s="4"/>
      <c r="F10" s="4"/>
      <c r="G10" s="4"/>
      <c r="H10" s="4"/>
      <c r="I10" s="4"/>
      <c r="J10" s="4"/>
      <c r="K10" s="11" t="n">
        <f aca="false">-Assumptions!B3</f>
        <v>-5000</v>
      </c>
      <c r="L10" s="4"/>
    </row>
    <row r="11" customFormat="false" ht="15" hidden="false" customHeight="false" outlineLevel="0" collapsed="false">
      <c r="A11" s="1" t="s">
        <v>40</v>
      </c>
      <c r="B11" s="4"/>
      <c r="C11" s="4"/>
      <c r="D11" s="4"/>
      <c r="E11" s="4"/>
      <c r="F11" s="4"/>
      <c r="G11" s="4"/>
      <c r="H11" s="4"/>
      <c r="I11" s="4"/>
      <c r="J11" s="4"/>
      <c r="K11" s="14" t="n">
        <f aca="false">K9+K10</f>
        <v>-5710.92296</v>
      </c>
      <c r="L11" s="4"/>
    </row>
    <row r="12" customFormat="false" ht="15" hidden="false" customHeight="false" outlineLevel="0" collapsed="false">
      <c r="A12" s="2" t="s">
        <v>41</v>
      </c>
      <c r="B12" s="4"/>
      <c r="C12" s="4"/>
      <c r="D12" s="4"/>
      <c r="E12" s="15" t="n">
        <f aca="false">IF(D3*Assumptions!$B$2=0,"n/a",J3/(D3*Assumptions!$B$2))</f>
        <v>0.116893439940151</v>
      </c>
      <c r="F12" s="16" t="s">
        <v>42</v>
      </c>
      <c r="G12" s="4"/>
      <c r="H12" s="4"/>
      <c r="I12" s="4"/>
      <c r="J12" s="4"/>
      <c r="K12" s="4"/>
      <c r="L1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2"/>
    <col collapsed="false" customWidth="true" hidden="false" outlineLevel="0" max="4" min="4" style="0" width="12"/>
  </cols>
  <sheetData>
    <row r="1" customFormat="false" ht="26.85" hidden="false" customHeight="false" outlineLevel="0" collapsed="false">
      <c r="A1" s="3" t="s">
        <v>43</v>
      </c>
      <c r="B1" s="3" t="s">
        <v>44</v>
      </c>
      <c r="C1" s="3" t="s">
        <v>45</v>
      </c>
      <c r="D1" s="3" t="s">
        <v>46</v>
      </c>
    </row>
    <row r="2" customFormat="false" ht="15" hidden="false" customHeight="false" outlineLevel="0" collapsed="false">
      <c r="A2" s="4" t="s">
        <v>47</v>
      </c>
      <c r="B2" s="8" t="n">
        <v>9146264.74400001</v>
      </c>
      <c r="C2" s="8" t="n">
        <v>9299896.27300004</v>
      </c>
      <c r="D2" s="15" t="n">
        <f aca="false">IF(B2=0,"n/a",C2/B2-1)</f>
        <v>0.0167971880653037</v>
      </c>
    </row>
    <row r="3" customFormat="false" ht="15" hidden="false" customHeight="false" outlineLevel="0" collapsed="false">
      <c r="A3" s="4" t="s">
        <v>48</v>
      </c>
      <c r="B3" s="8" t="n">
        <v>8175241.21400005</v>
      </c>
      <c r="C3" s="8" t="n">
        <v>7969516.90300001</v>
      </c>
      <c r="D3" s="15" t="n">
        <f aca="false">IF(B3=0,"n/a",C3/B3-1)</f>
        <v>-0.025164310827642</v>
      </c>
    </row>
    <row r="4" customFormat="false" ht="15" hidden="false" customHeight="false" outlineLevel="0" collapsed="false">
      <c r="A4" s="4" t="s">
        <v>49</v>
      </c>
      <c r="B4" s="8" t="n">
        <v>1065287.22</v>
      </c>
      <c r="C4" s="8" t="n">
        <v>1407728.84</v>
      </c>
      <c r="D4" s="15" t="n">
        <f aca="false">IF(B4=0,"n/a",C4/B4-1)</f>
        <v>0.321454734057544</v>
      </c>
    </row>
    <row r="5" customFormat="false" ht="15" hidden="false" customHeight="false" outlineLevel="0" collapsed="false">
      <c r="A5" s="4" t="s">
        <v>50</v>
      </c>
      <c r="B5" s="7" t="n">
        <v>4227</v>
      </c>
      <c r="C5" s="7" t="n">
        <v>4284</v>
      </c>
      <c r="D5" s="15" t="n">
        <f aca="false">IF(B5=0,"n/a",C5/B5-1)</f>
        <v>0.013484740951029</v>
      </c>
    </row>
    <row r="6" customFormat="false" ht="15" hidden="false" customHeight="false" outlineLevel="0" collapsed="false">
      <c r="A6" s="4" t="s">
        <v>51</v>
      </c>
      <c r="B6" s="17" t="n">
        <v>4.273</v>
      </c>
      <c r="C6" s="17" t="n">
        <v>4.087</v>
      </c>
      <c r="D6" s="15" t="n">
        <f aca="false">IF(B6=0,"n/a",C6/B6-1)</f>
        <v>-0.0435291364380996</v>
      </c>
    </row>
    <row r="7" customFormat="false" ht="15" hidden="false" customHeight="false" outlineLevel="0" collapsed="false">
      <c r="A7" s="4" t="s">
        <v>52</v>
      </c>
      <c r="B7" s="18" t="n">
        <v>452.67</v>
      </c>
      <c r="C7" s="18" t="n">
        <v>455.17</v>
      </c>
      <c r="D7" s="15" t="n">
        <f aca="false">IF(B7=0,"n/a",C7/B7-1)</f>
        <v>0.00552278701924136</v>
      </c>
    </row>
    <row r="8" customFormat="false" ht="15" hidden="false" customHeight="false" outlineLevel="0" collapsed="false">
      <c r="A8" s="4" t="s">
        <v>53</v>
      </c>
      <c r="B8" s="19" t="n">
        <v>0.0102</v>
      </c>
      <c r="C8" s="19" t="n">
        <v>0.0082</v>
      </c>
      <c r="D8" s="15" t="n">
        <f aca="false">IF(B8=0,"n/a",C8/B8-1)</f>
        <v>-0.196078431372549</v>
      </c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1" t="s">
        <v>54</v>
      </c>
      <c r="B10" s="19" t="n">
        <v>0.6385</v>
      </c>
      <c r="C10" s="4"/>
      <c r="D10" s="4"/>
    </row>
    <row r="11" customFormat="false" ht="15" hidden="false" customHeight="false" outlineLevel="0" collapsed="false">
      <c r="A11" s="1" t="s">
        <v>55</v>
      </c>
      <c r="B11" s="19" t="n">
        <v>0.8081</v>
      </c>
      <c r="C11" s="4"/>
      <c r="D11" s="4"/>
    </row>
    <row r="12" customFormat="false" ht="15" hidden="false" customHeight="false" outlineLevel="0" collapsed="false">
      <c r="A12" s="4"/>
      <c r="B12" s="4"/>
      <c r="C12" s="4"/>
      <c r="D12" s="4"/>
    </row>
    <row r="13" customFormat="false" ht="15" hidden="false" customHeight="false" outlineLevel="0" collapsed="false">
      <c r="A13" s="4" t="s">
        <v>56</v>
      </c>
      <c r="B13" s="4"/>
      <c r="C13" s="4"/>
      <c r="D1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  <col collapsed="false" customWidth="true" hidden="false" outlineLevel="0" max="11" min="11" style="0" width="40"/>
    <col collapsed="false" customWidth="true" hidden="false" outlineLevel="0" max="12" min="12" style="0" width="16"/>
  </cols>
  <sheetData>
    <row r="1" customFormat="false" ht="26.85" hidden="false" customHeight="false" outlineLevel="0" collapsed="false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</row>
    <row r="2" customFormat="false" ht="15" hidden="false" customHeight="false" outlineLevel="0" collapsed="false">
      <c r="A2" s="20" t="n">
        <v>1</v>
      </c>
      <c r="B2" s="20" t="n">
        <v>16029</v>
      </c>
      <c r="C2" s="20" t="s">
        <v>69</v>
      </c>
      <c r="D2" s="8" t="n">
        <v>56098.41</v>
      </c>
      <c r="E2" s="19" t="n">
        <v>0.0485991890697518</v>
      </c>
      <c r="F2" s="8" t="n">
        <v>2726.33723410246</v>
      </c>
      <c r="G2" s="8" t="n">
        <v>37853.403722822</v>
      </c>
      <c r="H2" s="20" t="n">
        <v>39</v>
      </c>
      <c r="I2" s="21" t="n">
        <v>6.8</v>
      </c>
      <c r="J2" s="20" t="s">
        <v>70</v>
      </c>
      <c r="K2" s="20" t="s">
        <v>71</v>
      </c>
      <c r="L2" s="20" t="s">
        <v>72</v>
      </c>
    </row>
    <row r="3" customFormat="false" ht="15" hidden="false" customHeight="false" outlineLevel="0" collapsed="false">
      <c r="A3" s="20" t="n">
        <v>2</v>
      </c>
      <c r="B3" s="20" t="n">
        <v>15749</v>
      </c>
      <c r="C3" s="20" t="s">
        <v>69</v>
      </c>
      <c r="D3" s="8" t="n">
        <v>21535.9</v>
      </c>
      <c r="E3" s="19" t="n">
        <v>0.265172325701309</v>
      </c>
      <c r="F3" s="8" t="n">
        <v>5710.72468907082</v>
      </c>
      <c r="G3" s="8" t="n">
        <v>11744.1047526907</v>
      </c>
      <c r="H3" s="20" t="n">
        <v>236</v>
      </c>
      <c r="I3" s="21" t="n">
        <v>97</v>
      </c>
      <c r="J3" s="20" t="s">
        <v>73</v>
      </c>
      <c r="K3" s="20" t="s">
        <v>74</v>
      </c>
      <c r="L3" s="20" t="s">
        <v>75</v>
      </c>
    </row>
    <row r="4" customFormat="false" ht="15" hidden="false" customHeight="false" outlineLevel="0" collapsed="false">
      <c r="A4" s="20" t="n">
        <v>3</v>
      </c>
      <c r="B4" s="20" t="n">
        <v>15513</v>
      </c>
      <c r="C4" s="20" t="s">
        <v>69</v>
      </c>
      <c r="D4" s="8" t="n">
        <v>13206.58</v>
      </c>
      <c r="E4" s="19" t="n">
        <v>0.0457886440489036</v>
      </c>
      <c r="F4" s="8" t="n">
        <v>604.71139072337</v>
      </c>
      <c r="G4" s="8" t="n">
        <v>10895.9495713748</v>
      </c>
      <c r="H4" s="20" t="n">
        <v>32</v>
      </c>
      <c r="I4" s="21" t="n">
        <v>19.5</v>
      </c>
      <c r="J4" s="20" t="s">
        <v>76</v>
      </c>
      <c r="K4" s="20" t="s">
        <v>71</v>
      </c>
      <c r="L4" s="20" t="s">
        <v>72</v>
      </c>
    </row>
    <row r="5" customFormat="false" ht="15" hidden="false" customHeight="false" outlineLevel="0" collapsed="false">
      <c r="A5" s="20" t="n">
        <v>4</v>
      </c>
      <c r="B5" s="20" t="n">
        <v>12939</v>
      </c>
      <c r="C5" s="20" t="s">
        <v>69</v>
      </c>
      <c r="D5" s="8" t="n">
        <v>11581.8</v>
      </c>
      <c r="E5" s="19" t="n">
        <v>0.0904993314910088</v>
      </c>
      <c r="F5" s="8" t="n">
        <v>1048.14515746257</v>
      </c>
      <c r="G5" s="8" t="n">
        <v>10576.7734020439</v>
      </c>
      <c r="H5" s="20" t="n">
        <v>65</v>
      </c>
      <c r="I5" s="21" t="n">
        <v>33.3</v>
      </c>
      <c r="J5" s="20" t="s">
        <v>76</v>
      </c>
      <c r="K5" s="20" t="s">
        <v>71</v>
      </c>
      <c r="L5" s="20" t="s">
        <v>72</v>
      </c>
    </row>
    <row r="6" customFormat="false" ht="15" hidden="false" customHeight="false" outlineLevel="0" collapsed="false">
      <c r="A6" s="20" t="n">
        <v>5</v>
      </c>
      <c r="B6" s="20" t="n">
        <v>16180</v>
      </c>
      <c r="C6" s="20" t="s">
        <v>69</v>
      </c>
      <c r="D6" s="8" t="n">
        <v>10217.48</v>
      </c>
      <c r="E6" s="19" t="n">
        <v>0.196297186920161</v>
      </c>
      <c r="F6" s="8" t="n">
        <v>2005.66258141301</v>
      </c>
      <c r="G6" s="8" t="n">
        <v>7374.78161274785</v>
      </c>
      <c r="H6" s="20" t="n">
        <v>101</v>
      </c>
      <c r="I6" s="21" t="n">
        <v>36.2</v>
      </c>
      <c r="J6" s="20" t="s">
        <v>76</v>
      </c>
      <c r="K6" s="20" t="s">
        <v>71</v>
      </c>
      <c r="L6" s="20" t="s">
        <v>72</v>
      </c>
    </row>
    <row r="7" customFormat="false" ht="15" hidden="false" customHeight="false" outlineLevel="0" collapsed="false">
      <c r="A7" s="20" t="n">
        <v>6</v>
      </c>
      <c r="B7" s="20" t="n">
        <v>17865</v>
      </c>
      <c r="C7" s="20" t="s">
        <v>69</v>
      </c>
      <c r="D7" s="8" t="n">
        <v>10200.59</v>
      </c>
      <c r="E7" s="19" t="n">
        <v>0.0424750395215664</v>
      </c>
      <c r="F7" s="8" t="n">
        <v>433.270463393295</v>
      </c>
      <c r="G7" s="8" t="n">
        <v>10637.390230919</v>
      </c>
      <c r="H7" s="20" t="n">
        <v>31</v>
      </c>
      <c r="I7" s="21" t="n">
        <v>16.1</v>
      </c>
      <c r="J7" s="20" t="s">
        <v>76</v>
      </c>
      <c r="K7" s="20" t="s">
        <v>71</v>
      </c>
      <c r="L7" s="20" t="s">
        <v>72</v>
      </c>
    </row>
    <row r="8" customFormat="false" ht="15" hidden="false" customHeight="false" outlineLevel="0" collapsed="false">
      <c r="A8" s="20" t="n">
        <v>7</v>
      </c>
      <c r="B8" s="20" t="n">
        <v>16843</v>
      </c>
      <c r="C8" s="20" t="s">
        <v>69</v>
      </c>
      <c r="D8" s="8" t="n">
        <v>10183.82</v>
      </c>
      <c r="E8" s="19" t="n">
        <v>0.0611867784052842</v>
      </c>
      <c r="F8" s="8" t="n">
        <v>623.115137659302</v>
      </c>
      <c r="G8" s="8" t="n">
        <v>7924.91047243193</v>
      </c>
      <c r="H8" s="20" t="n">
        <v>43</v>
      </c>
      <c r="I8" s="21" t="n">
        <v>20.8</v>
      </c>
      <c r="J8" s="20" t="s">
        <v>76</v>
      </c>
      <c r="K8" s="20" t="s">
        <v>71</v>
      </c>
      <c r="L8" s="20" t="s">
        <v>72</v>
      </c>
    </row>
    <row r="9" customFormat="false" ht="15" hidden="false" customHeight="false" outlineLevel="0" collapsed="false">
      <c r="A9" s="20" t="n">
        <v>8</v>
      </c>
      <c r="B9" s="20" t="n">
        <v>12590</v>
      </c>
      <c r="C9" s="20" t="s">
        <v>77</v>
      </c>
      <c r="D9" s="8" t="n">
        <v>9338.38</v>
      </c>
      <c r="E9" s="19" t="n">
        <v>0.362307462307497</v>
      </c>
      <c r="F9" s="8" t="n">
        <v>3383.36475986308</v>
      </c>
      <c r="G9" s="8" t="n">
        <v>315.927089614969</v>
      </c>
      <c r="H9" s="20" t="n">
        <v>191</v>
      </c>
      <c r="I9" s="21"/>
      <c r="J9" s="20" t="s">
        <v>73</v>
      </c>
      <c r="K9" s="20" t="s">
        <v>74</v>
      </c>
      <c r="L9" s="20" t="s">
        <v>75</v>
      </c>
    </row>
    <row r="10" customFormat="false" ht="15" hidden="false" customHeight="false" outlineLevel="0" collapsed="false">
      <c r="A10" s="20" t="n">
        <v>9</v>
      </c>
      <c r="B10" s="20" t="n">
        <v>14952</v>
      </c>
      <c r="C10" s="20" t="s">
        <v>69</v>
      </c>
      <c r="D10" s="8" t="n">
        <v>8015.79</v>
      </c>
      <c r="E10" s="19" t="n">
        <v>0.0759234449706574</v>
      </c>
      <c r="F10" s="8" t="n">
        <v>608.586390961346</v>
      </c>
      <c r="G10" s="8" t="n">
        <v>7119.62879956757</v>
      </c>
      <c r="H10" s="20" t="n">
        <v>47</v>
      </c>
      <c r="I10" s="21" t="n">
        <v>21.8</v>
      </c>
      <c r="J10" s="20" t="s">
        <v>76</v>
      </c>
      <c r="K10" s="20" t="s">
        <v>71</v>
      </c>
      <c r="L10" s="20" t="s">
        <v>72</v>
      </c>
    </row>
    <row r="11" customFormat="false" ht="15" hidden="false" customHeight="false" outlineLevel="0" collapsed="false">
      <c r="A11" s="20" t="n">
        <v>10</v>
      </c>
      <c r="B11" s="20" t="n">
        <v>16745</v>
      </c>
      <c r="C11" s="20" t="s">
        <v>69</v>
      </c>
      <c r="D11" s="8" t="n">
        <v>7157.1</v>
      </c>
      <c r="E11" s="19" t="n">
        <v>0.181146804556487</v>
      </c>
      <c r="F11" s="8" t="n">
        <v>1296.48579489124</v>
      </c>
      <c r="G11" s="8" t="n">
        <v>4221.98881931271</v>
      </c>
      <c r="H11" s="20" t="n">
        <v>87</v>
      </c>
      <c r="I11" s="21" t="n">
        <v>14.1</v>
      </c>
      <c r="J11" s="20" t="s">
        <v>70</v>
      </c>
      <c r="K11" s="20" t="s">
        <v>71</v>
      </c>
      <c r="L11" s="20" t="s">
        <v>72</v>
      </c>
    </row>
    <row r="12" customFormat="false" ht="15" hidden="false" customHeight="false" outlineLevel="0" collapsed="false">
      <c r="A12" s="20" t="n">
        <v>11</v>
      </c>
      <c r="B12" s="20" t="n">
        <v>12980</v>
      </c>
      <c r="C12" s="20" t="s">
        <v>69</v>
      </c>
      <c r="D12" s="8" t="n">
        <v>7092.06</v>
      </c>
      <c r="E12" s="19" t="n">
        <v>0.320095553738575</v>
      </c>
      <c r="F12" s="8" t="n">
        <v>2270.1368728472</v>
      </c>
      <c r="G12" s="8" t="n">
        <v>4453.4975513146</v>
      </c>
      <c r="H12" s="20" t="n">
        <v>156</v>
      </c>
      <c r="I12" s="21" t="n">
        <v>29</v>
      </c>
      <c r="J12" s="20" t="s">
        <v>70</v>
      </c>
      <c r="K12" s="20" t="s">
        <v>78</v>
      </c>
      <c r="L12" s="20" t="s">
        <v>72</v>
      </c>
    </row>
    <row r="13" customFormat="false" ht="15" hidden="false" customHeight="false" outlineLevel="0" collapsed="false">
      <c r="A13" s="20" t="n">
        <v>12</v>
      </c>
      <c r="B13" s="20" t="n">
        <v>16729</v>
      </c>
      <c r="C13" s="20" t="s">
        <v>69</v>
      </c>
      <c r="D13" s="8" t="n">
        <v>7045.41</v>
      </c>
      <c r="E13" s="19" t="n">
        <v>0.086813442810489</v>
      </c>
      <c r="F13" s="8" t="n">
        <v>611.636298111448</v>
      </c>
      <c r="G13" s="8" t="n">
        <v>7001.49580781148</v>
      </c>
      <c r="H13" s="20" t="n">
        <v>37</v>
      </c>
      <c r="I13" s="21" t="n">
        <v>10.2</v>
      </c>
      <c r="J13" s="20" t="s">
        <v>70</v>
      </c>
      <c r="K13" s="20" t="s">
        <v>71</v>
      </c>
      <c r="L13" s="20" t="s">
        <v>72</v>
      </c>
    </row>
    <row r="14" customFormat="false" ht="15" hidden="false" customHeight="false" outlineLevel="0" collapsed="false">
      <c r="A14" s="20" t="n">
        <v>13</v>
      </c>
      <c r="B14" s="20" t="n">
        <v>13093</v>
      </c>
      <c r="C14" s="20" t="s">
        <v>69</v>
      </c>
      <c r="D14" s="8" t="n">
        <v>6942.07</v>
      </c>
      <c r="E14" s="19" t="n">
        <v>0.489483884088849</v>
      </c>
      <c r="F14" s="8" t="n">
        <v>3398.03138721667</v>
      </c>
      <c r="G14" s="8" t="n">
        <v>0.128859294856806</v>
      </c>
      <c r="H14" s="20" t="n">
        <v>268</v>
      </c>
      <c r="I14" s="21" t="n">
        <v>8.5</v>
      </c>
      <c r="J14" s="20" t="s">
        <v>70</v>
      </c>
      <c r="K14" s="20" t="s">
        <v>78</v>
      </c>
      <c r="L14" s="20" t="s">
        <v>79</v>
      </c>
    </row>
    <row r="15" customFormat="false" ht="15" hidden="false" customHeight="false" outlineLevel="0" collapsed="false">
      <c r="A15" s="20" t="n">
        <v>14</v>
      </c>
      <c r="B15" s="20" t="n">
        <v>13027</v>
      </c>
      <c r="C15" s="20" t="s">
        <v>69</v>
      </c>
      <c r="D15" s="8" t="n">
        <v>6912</v>
      </c>
      <c r="E15" s="19" t="n">
        <v>0.211656912190358</v>
      </c>
      <c r="F15" s="8" t="n">
        <v>1462.97257705975</v>
      </c>
      <c r="G15" s="8" t="n">
        <v>6680.08873210156</v>
      </c>
      <c r="H15" s="20" t="n">
        <v>114</v>
      </c>
      <c r="I15" s="21" t="n">
        <v>31.9</v>
      </c>
      <c r="J15" s="20" t="s">
        <v>70</v>
      </c>
      <c r="K15" s="20" t="s">
        <v>71</v>
      </c>
      <c r="L15" s="20" t="s">
        <v>72</v>
      </c>
    </row>
    <row r="16" customFormat="false" ht="15" hidden="false" customHeight="false" outlineLevel="0" collapsed="false">
      <c r="A16" s="20" t="n">
        <v>15</v>
      </c>
      <c r="B16" s="20" t="n">
        <v>16187</v>
      </c>
      <c r="C16" s="20" t="s">
        <v>69</v>
      </c>
      <c r="D16" s="8" t="n">
        <v>6841.24</v>
      </c>
      <c r="E16" s="19" t="n">
        <v>0.0609610392630077</v>
      </c>
      <c r="F16" s="8" t="n">
        <v>417.049100247659</v>
      </c>
      <c r="G16" s="8" t="n">
        <v>5854.81028106623</v>
      </c>
      <c r="H16" s="20" t="n">
        <v>32</v>
      </c>
      <c r="I16" s="21" t="n">
        <v>18.1</v>
      </c>
      <c r="J16" s="20" t="s">
        <v>76</v>
      </c>
      <c r="K16" s="20" t="s">
        <v>71</v>
      </c>
      <c r="L16" s="20" t="s">
        <v>72</v>
      </c>
    </row>
    <row r="17" customFormat="false" ht="15" hidden="false" customHeight="false" outlineLevel="0" collapsed="false">
      <c r="A17" s="20" t="n">
        <v>16</v>
      </c>
      <c r="B17" s="20" t="n">
        <v>16652</v>
      </c>
      <c r="C17" s="20" t="s">
        <v>69</v>
      </c>
      <c r="D17" s="8" t="n">
        <v>6654.26</v>
      </c>
      <c r="E17" s="19" t="n">
        <v>0.0946344381810669</v>
      </c>
      <c r="F17" s="8" t="n">
        <v>629.722156610746</v>
      </c>
      <c r="G17" s="8" t="n">
        <v>7460.69796493832</v>
      </c>
      <c r="H17" s="20" t="n">
        <v>54</v>
      </c>
      <c r="I17" s="21" t="n">
        <v>38.3</v>
      </c>
      <c r="J17" s="20" t="s">
        <v>76</v>
      </c>
      <c r="K17" s="20" t="s">
        <v>71</v>
      </c>
      <c r="L17" s="20" t="s">
        <v>72</v>
      </c>
    </row>
    <row r="18" customFormat="false" ht="15" hidden="false" customHeight="false" outlineLevel="0" collapsed="false">
      <c r="A18" s="20" t="n">
        <v>17</v>
      </c>
      <c r="B18" s="20" t="n">
        <v>15939</v>
      </c>
      <c r="C18" s="20" t="s">
        <v>69</v>
      </c>
      <c r="D18" s="8" t="n">
        <v>6087.26</v>
      </c>
      <c r="E18" s="19" t="n">
        <v>0.166149375378857</v>
      </c>
      <c r="F18" s="8" t="n">
        <v>1011.3944467687</v>
      </c>
      <c r="G18" s="8" t="n">
        <v>4096.73088438073</v>
      </c>
      <c r="H18" s="20" t="n">
        <v>90</v>
      </c>
      <c r="I18" s="21" t="n">
        <v>20.4</v>
      </c>
      <c r="J18" s="20" t="s">
        <v>70</v>
      </c>
      <c r="K18" s="20" t="s">
        <v>71</v>
      </c>
      <c r="L18" s="20" t="s">
        <v>72</v>
      </c>
    </row>
    <row r="19" customFormat="false" ht="15" hidden="false" customHeight="false" outlineLevel="0" collapsed="false">
      <c r="A19" s="20" t="n">
        <v>18</v>
      </c>
      <c r="B19" s="20" t="n">
        <v>14101</v>
      </c>
      <c r="C19" s="20" t="s">
        <v>69</v>
      </c>
      <c r="D19" s="8" t="n">
        <v>5976.79</v>
      </c>
      <c r="E19" s="19" t="n">
        <v>0.116008102478822</v>
      </c>
      <c r="F19" s="8" t="n">
        <v>693.356066814397</v>
      </c>
      <c r="G19" s="8" t="n">
        <v>4466.4058903555</v>
      </c>
      <c r="H19" s="20" t="n">
        <v>74</v>
      </c>
      <c r="I19" s="21" t="n">
        <v>45.7</v>
      </c>
      <c r="J19" s="20" t="s">
        <v>76</v>
      </c>
      <c r="K19" s="20" t="s">
        <v>71</v>
      </c>
      <c r="L19" s="20" t="s">
        <v>72</v>
      </c>
    </row>
    <row r="20" customFormat="false" ht="15" hidden="false" customHeight="false" outlineLevel="0" collapsed="false">
      <c r="A20" s="20" t="n">
        <v>19</v>
      </c>
      <c r="B20" s="20" t="n">
        <v>12637</v>
      </c>
      <c r="C20" s="20" t="s">
        <v>80</v>
      </c>
      <c r="D20" s="8" t="n">
        <v>5790.25</v>
      </c>
      <c r="E20" s="19" t="n">
        <v>0.0949320515091781</v>
      </c>
      <c r="F20" s="8" t="n">
        <v>549.680311251019</v>
      </c>
      <c r="G20" s="8" t="n">
        <v>4013.70870149541</v>
      </c>
      <c r="H20" s="20" t="n">
        <v>68</v>
      </c>
      <c r="I20" s="21" t="n">
        <v>43.3</v>
      </c>
      <c r="J20" s="20" t="s">
        <v>76</v>
      </c>
      <c r="K20" s="20" t="s">
        <v>71</v>
      </c>
      <c r="L20" s="20" t="s">
        <v>72</v>
      </c>
    </row>
    <row r="21" customFormat="false" ht="15" hidden="false" customHeight="false" outlineLevel="0" collapsed="false">
      <c r="A21" s="20" t="n">
        <v>20</v>
      </c>
      <c r="B21" s="20" t="n">
        <v>16553</v>
      </c>
      <c r="C21" s="20" t="s">
        <v>69</v>
      </c>
      <c r="D21" s="8" t="n">
        <v>5668.82</v>
      </c>
      <c r="E21" s="19" t="n">
        <v>0.322024080009104</v>
      </c>
      <c r="F21" s="8" t="n">
        <v>1825.49654523721</v>
      </c>
      <c r="G21" s="8" t="n">
        <v>5412.0965476006</v>
      </c>
      <c r="H21" s="20" t="n">
        <v>164</v>
      </c>
      <c r="I21" s="21" t="n">
        <v>15.7</v>
      </c>
      <c r="J21" s="20" t="s">
        <v>70</v>
      </c>
      <c r="K21" s="20" t="s">
        <v>78</v>
      </c>
      <c r="L21" s="20" t="s">
        <v>72</v>
      </c>
    </row>
    <row r="22" customFormat="false" ht="15" hidden="false" customHeight="false" outlineLevel="0" collapsed="false">
      <c r="A22" s="20" t="n">
        <v>21</v>
      </c>
      <c r="B22" s="20" t="n">
        <v>17719</v>
      </c>
      <c r="C22" s="20" t="s">
        <v>69</v>
      </c>
      <c r="D22" s="8" t="n">
        <v>5367.8</v>
      </c>
      <c r="E22" s="19" t="n">
        <v>0.0876144041283296</v>
      </c>
      <c r="F22" s="8" t="n">
        <v>470.296598480048</v>
      </c>
      <c r="G22" s="8" t="n">
        <v>5026.67930049451</v>
      </c>
      <c r="H22" s="20" t="n">
        <v>38</v>
      </c>
      <c r="I22" s="21" t="n">
        <v>15.6</v>
      </c>
      <c r="J22" s="20" t="s">
        <v>76</v>
      </c>
      <c r="K22" s="20" t="s">
        <v>71</v>
      </c>
      <c r="L22" s="20" t="s">
        <v>72</v>
      </c>
    </row>
    <row r="23" customFormat="false" ht="15" hidden="false" customHeight="false" outlineLevel="0" collapsed="false">
      <c r="A23" s="20" t="n">
        <v>22</v>
      </c>
      <c r="B23" s="20" t="n">
        <v>18226</v>
      </c>
      <c r="C23" s="20" t="s">
        <v>69</v>
      </c>
      <c r="D23" s="8" t="n">
        <v>5192.1</v>
      </c>
      <c r="E23" s="19" t="n">
        <v>0.0723424900556355</v>
      </c>
      <c r="F23" s="8" t="n">
        <v>375.609442617865</v>
      </c>
      <c r="G23" s="8" t="n">
        <v>5431.11094177124</v>
      </c>
      <c r="H23" s="20" t="n">
        <v>39</v>
      </c>
      <c r="I23" s="21" t="n">
        <v>24</v>
      </c>
      <c r="J23" s="20" t="s">
        <v>76</v>
      </c>
      <c r="K23" s="20" t="s">
        <v>71</v>
      </c>
      <c r="L23" s="20" t="s">
        <v>72</v>
      </c>
    </row>
    <row r="24" customFormat="false" ht="15" hidden="false" customHeight="false" outlineLevel="0" collapsed="false">
      <c r="A24" s="20" t="n">
        <v>23</v>
      </c>
      <c r="B24" s="20" t="n">
        <v>17061</v>
      </c>
      <c r="C24" s="20" t="s">
        <v>69</v>
      </c>
      <c r="D24" s="8" t="n">
        <v>5116.13</v>
      </c>
      <c r="E24" s="19" t="n">
        <v>0.19422559836079</v>
      </c>
      <c r="F24" s="8" t="n">
        <v>993.683410541588</v>
      </c>
      <c r="G24" s="8" t="n">
        <v>3458.32724707916</v>
      </c>
      <c r="H24" s="20" t="n">
        <v>74</v>
      </c>
      <c r="I24" s="21" t="n">
        <v>15.9</v>
      </c>
      <c r="J24" s="20" t="s">
        <v>70</v>
      </c>
      <c r="K24" s="20" t="s">
        <v>71</v>
      </c>
      <c r="L24" s="20" t="s">
        <v>72</v>
      </c>
    </row>
    <row r="25" customFormat="false" ht="15" hidden="false" customHeight="false" outlineLevel="0" collapsed="false">
      <c r="A25" s="20" t="n">
        <v>24</v>
      </c>
      <c r="B25" s="20" t="n">
        <v>12688</v>
      </c>
      <c r="C25" s="20" t="s">
        <v>81</v>
      </c>
      <c r="D25" s="8" t="n">
        <v>4873.81</v>
      </c>
      <c r="E25" s="19" t="n">
        <v>0.393723095955244</v>
      </c>
      <c r="F25" s="8" t="n">
        <v>1918.93156229763</v>
      </c>
      <c r="G25" s="8" t="n">
        <v>482.41248438747</v>
      </c>
      <c r="H25" s="20" t="n">
        <v>114</v>
      </c>
      <c r="I25" s="21"/>
      <c r="J25" s="20" t="s">
        <v>73</v>
      </c>
      <c r="K25" s="20" t="s">
        <v>74</v>
      </c>
      <c r="L25" s="20" t="s">
        <v>82</v>
      </c>
    </row>
    <row r="26" customFormat="false" ht="15" hidden="false" customHeight="false" outlineLevel="0" collapsed="false">
      <c r="A26" s="20" t="n">
        <v>25</v>
      </c>
      <c r="B26" s="20" t="n">
        <v>15874</v>
      </c>
      <c r="C26" s="20" t="s">
        <v>69</v>
      </c>
      <c r="D26" s="8" t="n">
        <v>4346.57</v>
      </c>
      <c r="E26" s="19" t="n">
        <v>0.100290821834845</v>
      </c>
      <c r="F26" s="8" t="n">
        <v>435.921077462682</v>
      </c>
      <c r="G26" s="8" t="n">
        <v>4633.9514626602</v>
      </c>
      <c r="H26" s="20" t="n">
        <v>64</v>
      </c>
      <c r="I26" s="21" t="n">
        <v>31.9</v>
      </c>
      <c r="J26" s="20" t="s">
        <v>76</v>
      </c>
      <c r="K26" s="20" t="s">
        <v>71</v>
      </c>
      <c r="L26" s="20" t="s">
        <v>72</v>
      </c>
    </row>
    <row r="27" customFormat="false" ht="15" hidden="false" customHeight="false" outlineLevel="0" collapsed="false">
      <c r="A27" s="20" t="n">
        <v>26</v>
      </c>
      <c r="B27" s="20" t="n">
        <v>15301</v>
      </c>
      <c r="C27" s="20" t="s">
        <v>69</v>
      </c>
      <c r="D27" s="8" t="n">
        <v>4334.35</v>
      </c>
      <c r="E27" s="19" t="n">
        <v>0.0856379490293324</v>
      </c>
      <c r="F27" s="8" t="n">
        <v>371.184844375287</v>
      </c>
      <c r="G27" s="8" t="n">
        <v>4147.01345935091</v>
      </c>
      <c r="H27" s="20" t="n">
        <v>51</v>
      </c>
      <c r="I27" s="21" t="n">
        <v>25</v>
      </c>
      <c r="J27" s="20" t="s">
        <v>76</v>
      </c>
      <c r="K27" s="20" t="s">
        <v>71</v>
      </c>
      <c r="L27" s="20" t="s">
        <v>72</v>
      </c>
    </row>
    <row r="28" customFormat="false" ht="15" hidden="false" customHeight="false" outlineLevel="0" collapsed="false">
      <c r="A28" s="20" t="n">
        <v>27</v>
      </c>
      <c r="B28" s="20" t="n">
        <v>14016</v>
      </c>
      <c r="C28" s="20" t="s">
        <v>83</v>
      </c>
      <c r="D28" s="8" t="n">
        <v>4278.46</v>
      </c>
      <c r="E28" s="19" t="n">
        <v>0.219454292529961</v>
      </c>
      <c r="F28" s="8" t="n">
        <v>938.926412417736</v>
      </c>
      <c r="G28" s="8" t="n">
        <v>3980.39449794783</v>
      </c>
      <c r="H28" s="20" t="n">
        <v>155</v>
      </c>
      <c r="I28" s="21" t="n">
        <v>53.9</v>
      </c>
      <c r="J28" s="20" t="s">
        <v>70</v>
      </c>
      <c r="K28" s="20" t="s">
        <v>71</v>
      </c>
      <c r="L28" s="20" t="s">
        <v>72</v>
      </c>
    </row>
    <row r="29" customFormat="false" ht="15" hidden="false" customHeight="false" outlineLevel="0" collapsed="false">
      <c r="A29" s="20" t="n">
        <v>28</v>
      </c>
      <c r="B29" s="20" t="n">
        <v>12378</v>
      </c>
      <c r="C29" s="20" t="s">
        <v>84</v>
      </c>
      <c r="D29" s="8" t="n">
        <v>4008.62</v>
      </c>
      <c r="E29" s="19" t="n">
        <v>0.370672665011727</v>
      </c>
      <c r="F29" s="8" t="n">
        <v>1485.88585841931</v>
      </c>
      <c r="G29" s="8" t="n">
        <v>1728.03853247432</v>
      </c>
      <c r="H29" s="20" t="n">
        <v>130</v>
      </c>
      <c r="I29" s="21" t="n">
        <v>433</v>
      </c>
      <c r="J29" s="20" t="s">
        <v>73</v>
      </c>
      <c r="K29" s="20" t="s">
        <v>74</v>
      </c>
      <c r="L29" s="20" t="s">
        <v>82</v>
      </c>
    </row>
    <row r="30" customFormat="false" ht="15" hidden="false" customHeight="false" outlineLevel="0" collapsed="false">
      <c r="A30" s="20" t="n">
        <v>29</v>
      </c>
      <c r="B30" s="20" t="n">
        <v>13802</v>
      </c>
      <c r="C30" s="20" t="s">
        <v>69</v>
      </c>
      <c r="D30" s="8" t="n">
        <v>3906.27</v>
      </c>
      <c r="E30" s="19" t="n">
        <v>0.233120627993794</v>
      </c>
      <c r="F30" s="8" t="n">
        <v>910.632115513316</v>
      </c>
      <c r="G30" s="8" t="n">
        <v>9344.12026444779</v>
      </c>
      <c r="H30" s="20" t="n">
        <v>139</v>
      </c>
      <c r="I30" s="21" t="n">
        <v>29.1</v>
      </c>
      <c r="J30" s="20" t="s">
        <v>70</v>
      </c>
      <c r="K30" s="20" t="s">
        <v>71</v>
      </c>
      <c r="L30" s="20" t="s">
        <v>72</v>
      </c>
    </row>
    <row r="31" customFormat="false" ht="15" hidden="false" customHeight="false" outlineLevel="0" collapsed="false">
      <c r="A31" s="20" t="n">
        <v>30</v>
      </c>
      <c r="B31" s="20" t="n">
        <v>18073</v>
      </c>
      <c r="C31" s="20" t="s">
        <v>69</v>
      </c>
      <c r="D31" s="8" t="n">
        <v>3846.74</v>
      </c>
      <c r="E31" s="19" t="n">
        <v>0.470537643799777</v>
      </c>
      <c r="F31" s="8" t="n">
        <v>1810.03597591036</v>
      </c>
      <c r="G31" s="8" t="n">
        <v>1336.21959540706</v>
      </c>
      <c r="H31" s="20" t="n">
        <v>115</v>
      </c>
      <c r="I31" s="21" t="n">
        <v>7.5</v>
      </c>
      <c r="J31" s="20" t="s">
        <v>70</v>
      </c>
      <c r="K31" s="20" t="s">
        <v>78</v>
      </c>
      <c r="L31" s="20" t="s">
        <v>72</v>
      </c>
    </row>
    <row r="32" customFormat="false" ht="15" hidden="false" customHeight="false" outlineLevel="0" collapsed="false">
      <c r="A32" s="20" t="n">
        <v>31</v>
      </c>
      <c r="B32" s="20" t="n">
        <v>14364</v>
      </c>
      <c r="C32" s="20" t="s">
        <v>69</v>
      </c>
      <c r="D32" s="8" t="n">
        <v>3717.35</v>
      </c>
      <c r="E32" s="19" t="n">
        <v>0.346036268917309</v>
      </c>
      <c r="F32" s="8" t="n">
        <v>1286.33792425976</v>
      </c>
      <c r="G32" s="8" t="n">
        <v>2697.99027785312</v>
      </c>
      <c r="H32" s="20" t="n">
        <v>109</v>
      </c>
      <c r="I32" s="21" t="n">
        <v>14.7</v>
      </c>
      <c r="J32" s="20" t="s">
        <v>70</v>
      </c>
      <c r="K32" s="20" t="s">
        <v>78</v>
      </c>
      <c r="L32" s="20" t="s">
        <v>72</v>
      </c>
    </row>
    <row r="33" customFormat="false" ht="15" hidden="false" customHeight="false" outlineLevel="0" collapsed="false">
      <c r="A33" s="20" t="n">
        <v>32</v>
      </c>
      <c r="B33" s="20" t="n">
        <v>14800</v>
      </c>
      <c r="C33" s="20" t="s">
        <v>69</v>
      </c>
      <c r="D33" s="8" t="n">
        <v>3676.3</v>
      </c>
      <c r="E33" s="19" t="n">
        <v>0.0799957853740622</v>
      </c>
      <c r="F33" s="8" t="n">
        <v>294.088505770665</v>
      </c>
      <c r="G33" s="8" t="n">
        <v>4396.4391727742</v>
      </c>
      <c r="H33" s="20" t="n">
        <v>48</v>
      </c>
      <c r="I33" s="21" t="n">
        <v>24.3</v>
      </c>
      <c r="J33" s="20" t="s">
        <v>76</v>
      </c>
      <c r="K33" s="20" t="s">
        <v>71</v>
      </c>
      <c r="L33" s="20" t="s">
        <v>72</v>
      </c>
    </row>
    <row r="34" customFormat="false" ht="15" hidden="false" customHeight="false" outlineLevel="0" collapsed="false">
      <c r="A34" s="20" t="n">
        <v>33</v>
      </c>
      <c r="B34" s="20" t="n">
        <v>15379</v>
      </c>
      <c r="C34" s="20" t="s">
        <v>69</v>
      </c>
      <c r="D34" s="8" t="n">
        <v>3631.89</v>
      </c>
      <c r="E34" s="19" t="n">
        <v>0.312903317288413</v>
      </c>
      <c r="F34" s="8" t="n">
        <v>1136.43042902661</v>
      </c>
      <c r="G34" s="8" t="n">
        <v>1944.4042346598</v>
      </c>
      <c r="H34" s="20" t="n">
        <v>170</v>
      </c>
      <c r="I34" s="21" t="n">
        <v>33</v>
      </c>
      <c r="J34" s="20" t="s">
        <v>70</v>
      </c>
      <c r="K34" s="20" t="s">
        <v>78</v>
      </c>
      <c r="L34" s="20" t="s">
        <v>72</v>
      </c>
    </row>
    <row r="35" customFormat="false" ht="15" hidden="false" customHeight="false" outlineLevel="0" collapsed="false">
      <c r="A35" s="20" t="n">
        <v>34</v>
      </c>
      <c r="B35" s="20" t="n">
        <v>13082</v>
      </c>
      <c r="C35" s="20" t="s">
        <v>69</v>
      </c>
      <c r="D35" s="8" t="n">
        <v>3595.48</v>
      </c>
      <c r="E35" s="19" t="n">
        <v>0.26250723012254</v>
      </c>
      <c r="F35" s="8" t="n">
        <v>943.839495760992</v>
      </c>
      <c r="G35" s="8" t="n">
        <v>2879.60241281259</v>
      </c>
      <c r="H35" s="20" t="n">
        <v>127</v>
      </c>
      <c r="I35" s="21" t="n">
        <v>29.6</v>
      </c>
      <c r="J35" s="20" t="s">
        <v>70</v>
      </c>
      <c r="K35" s="20" t="s">
        <v>78</v>
      </c>
      <c r="L35" s="20" t="s">
        <v>72</v>
      </c>
    </row>
    <row r="36" customFormat="false" ht="15" hidden="false" customHeight="false" outlineLevel="0" collapsed="false">
      <c r="A36" s="20" t="n">
        <v>35</v>
      </c>
      <c r="B36" s="20" t="n">
        <v>13552</v>
      </c>
      <c r="C36" s="20" t="s">
        <v>69</v>
      </c>
      <c r="D36" s="8" t="n">
        <v>3539.53</v>
      </c>
      <c r="E36" s="19" t="n">
        <v>0.133570998567539</v>
      </c>
      <c r="F36" s="8" t="n">
        <v>472.77855655976</v>
      </c>
      <c r="G36" s="8" t="n">
        <v>2866.16536427779</v>
      </c>
      <c r="H36" s="20" t="n">
        <v>67</v>
      </c>
      <c r="I36" s="21" t="n">
        <v>28.2</v>
      </c>
      <c r="J36" s="20" t="s">
        <v>76</v>
      </c>
      <c r="K36" s="20" t="s">
        <v>71</v>
      </c>
      <c r="L36" s="20" t="s">
        <v>72</v>
      </c>
    </row>
    <row r="37" customFormat="false" ht="15" hidden="false" customHeight="false" outlineLevel="0" collapsed="false">
      <c r="A37" s="20" t="n">
        <v>36</v>
      </c>
      <c r="B37" s="20" t="n">
        <v>15505</v>
      </c>
      <c r="C37" s="20" t="s">
        <v>69</v>
      </c>
      <c r="D37" s="8" t="n">
        <v>3497.14</v>
      </c>
      <c r="E37" s="19" t="n">
        <v>0.17174264744274</v>
      </c>
      <c r="F37" s="8" t="n">
        <v>600.608082077905</v>
      </c>
      <c r="G37" s="8" t="n">
        <v>3760.07860580696</v>
      </c>
      <c r="H37" s="20" t="n">
        <v>53</v>
      </c>
      <c r="I37" s="21" t="n">
        <v>25.8</v>
      </c>
      <c r="J37" s="20" t="s">
        <v>76</v>
      </c>
      <c r="K37" s="20" t="s">
        <v>71</v>
      </c>
      <c r="L37" s="20" t="s">
        <v>72</v>
      </c>
    </row>
    <row r="38" customFormat="false" ht="15" hidden="false" customHeight="false" outlineLevel="0" collapsed="false">
      <c r="A38" s="20" t="n">
        <v>37</v>
      </c>
      <c r="B38" s="20" t="n">
        <v>14040</v>
      </c>
      <c r="C38" s="20" t="s">
        <v>69</v>
      </c>
      <c r="D38" s="8" t="n">
        <v>3491.64</v>
      </c>
      <c r="E38" s="19" t="n">
        <v>0.0677787809062613</v>
      </c>
      <c r="F38" s="8" t="n">
        <v>236.659102563539</v>
      </c>
      <c r="G38" s="8" t="n">
        <v>5035.82355486311</v>
      </c>
      <c r="H38" s="20" t="n">
        <v>41</v>
      </c>
      <c r="I38" s="21" t="n">
        <v>20.5</v>
      </c>
      <c r="J38" s="20" t="s">
        <v>76</v>
      </c>
      <c r="K38" s="20" t="s">
        <v>71</v>
      </c>
      <c r="L38" s="20" t="s">
        <v>72</v>
      </c>
    </row>
    <row r="39" customFormat="false" ht="15" hidden="false" customHeight="false" outlineLevel="0" collapsed="false">
      <c r="A39" s="20" t="n">
        <v>38</v>
      </c>
      <c r="B39" s="20" t="n">
        <v>17230</v>
      </c>
      <c r="C39" s="20" t="s">
        <v>69</v>
      </c>
      <c r="D39" s="8" t="n">
        <v>3466.67</v>
      </c>
      <c r="E39" s="19" t="n">
        <v>0.501129095014375</v>
      </c>
      <c r="F39" s="8" t="n">
        <v>1737.24919981348</v>
      </c>
      <c r="G39" s="8" t="n">
        <v>1317.42912221573</v>
      </c>
      <c r="H39" s="20" t="n">
        <v>265</v>
      </c>
      <c r="I39" s="21" t="n">
        <v>27.5</v>
      </c>
      <c r="J39" s="20" t="s">
        <v>70</v>
      </c>
      <c r="K39" s="20" t="s">
        <v>85</v>
      </c>
      <c r="L39" s="20" t="s">
        <v>79</v>
      </c>
    </row>
    <row r="40" customFormat="false" ht="15" hidden="false" customHeight="false" outlineLevel="0" collapsed="false">
      <c r="A40" s="20" t="n">
        <v>39</v>
      </c>
      <c r="B40" s="20" t="n">
        <v>15129</v>
      </c>
      <c r="C40" s="20" t="s">
        <v>69</v>
      </c>
      <c r="D40" s="8" t="n">
        <v>3447.4</v>
      </c>
      <c r="E40" s="19" t="n">
        <v>0.0968133681247145</v>
      </c>
      <c r="F40" s="8" t="n">
        <v>333.754405273141</v>
      </c>
      <c r="G40" s="8" t="n">
        <v>3339.00215962434</v>
      </c>
      <c r="H40" s="20" t="n">
        <v>51</v>
      </c>
      <c r="I40" s="21" t="n">
        <v>25.5</v>
      </c>
      <c r="J40" s="20" t="s">
        <v>76</v>
      </c>
      <c r="K40" s="20" t="s">
        <v>71</v>
      </c>
      <c r="L40" s="20" t="s">
        <v>72</v>
      </c>
    </row>
    <row r="41" customFormat="false" ht="15" hidden="false" customHeight="false" outlineLevel="0" collapsed="false">
      <c r="A41" s="20" t="n">
        <v>40</v>
      </c>
      <c r="B41" s="20" t="n">
        <v>16556</v>
      </c>
      <c r="C41" s="20" t="s">
        <v>69</v>
      </c>
      <c r="D41" s="8" t="n">
        <v>3313.79</v>
      </c>
      <c r="E41" s="19" t="n">
        <v>0.110727056923021</v>
      </c>
      <c r="F41" s="8" t="n">
        <v>366.926213960937</v>
      </c>
      <c r="G41" s="8" t="n">
        <v>3200.61240724476</v>
      </c>
      <c r="H41" s="20" t="n">
        <v>67</v>
      </c>
      <c r="I41" s="21" t="n">
        <v>41.6</v>
      </c>
      <c r="J41" s="20" t="s">
        <v>76</v>
      </c>
      <c r="K41" s="20" t="s">
        <v>71</v>
      </c>
      <c r="L41" s="20" t="s">
        <v>72</v>
      </c>
    </row>
    <row r="42" customFormat="false" ht="15" hidden="false" customHeight="false" outlineLevel="0" collapsed="false">
      <c r="A42" s="20" t="n">
        <v>41</v>
      </c>
      <c r="B42" s="20" t="n">
        <v>17723</v>
      </c>
      <c r="C42" s="20" t="s">
        <v>69</v>
      </c>
      <c r="D42" s="8" t="n">
        <v>3276.4</v>
      </c>
      <c r="E42" s="19" t="n">
        <v>0.326193243750597</v>
      </c>
      <c r="F42" s="8" t="n">
        <v>1068.73954382446</v>
      </c>
      <c r="G42" s="8" t="n">
        <v>2301.23643573375</v>
      </c>
      <c r="H42" s="20" t="n">
        <v>128</v>
      </c>
      <c r="I42" s="21" t="n">
        <v>41.3</v>
      </c>
      <c r="J42" s="20" t="s">
        <v>70</v>
      </c>
      <c r="K42" s="20" t="s">
        <v>78</v>
      </c>
      <c r="L42" s="20" t="s">
        <v>72</v>
      </c>
    </row>
    <row r="43" customFormat="false" ht="15" hidden="false" customHeight="false" outlineLevel="0" collapsed="false">
      <c r="A43" s="20" t="n">
        <v>42</v>
      </c>
      <c r="B43" s="20" t="n">
        <v>13952</v>
      </c>
      <c r="C43" s="20" t="s">
        <v>69</v>
      </c>
      <c r="D43" s="8" t="n">
        <v>3246.091</v>
      </c>
      <c r="E43" s="19" t="n">
        <v>0.303065946283524</v>
      </c>
      <c r="F43" s="8" t="n">
        <v>983.77964063743</v>
      </c>
      <c r="G43" s="8" t="n">
        <v>3791.88001959726</v>
      </c>
      <c r="H43" s="20" t="n">
        <v>212</v>
      </c>
      <c r="I43" s="21" t="n">
        <v>38.9</v>
      </c>
      <c r="J43" s="20" t="s">
        <v>70</v>
      </c>
      <c r="K43" s="20" t="s">
        <v>78</v>
      </c>
      <c r="L43" s="20" t="s">
        <v>79</v>
      </c>
    </row>
    <row r="44" customFormat="false" ht="15" hidden="false" customHeight="false" outlineLevel="0" collapsed="false">
      <c r="A44" s="20" t="n">
        <v>43</v>
      </c>
      <c r="B44" s="20" t="n">
        <v>15764</v>
      </c>
      <c r="C44" s="20" t="s">
        <v>69</v>
      </c>
      <c r="D44" s="8" t="n">
        <v>3245.47</v>
      </c>
      <c r="E44" s="19" t="n">
        <v>0.195372792620936</v>
      </c>
      <c r="F44" s="8" t="n">
        <v>634.076537267468</v>
      </c>
      <c r="G44" s="8" t="n">
        <v>2224.10317996686</v>
      </c>
      <c r="H44" s="20" t="n">
        <v>82</v>
      </c>
      <c r="I44" s="21" t="n">
        <v>55.7</v>
      </c>
      <c r="J44" s="20" t="s">
        <v>76</v>
      </c>
      <c r="K44" s="20" t="s">
        <v>71</v>
      </c>
      <c r="L44" s="20" t="s">
        <v>72</v>
      </c>
    </row>
    <row r="45" customFormat="false" ht="15" hidden="false" customHeight="false" outlineLevel="0" collapsed="false">
      <c r="A45" s="20" t="n">
        <v>44</v>
      </c>
      <c r="B45" s="20" t="n">
        <v>18087</v>
      </c>
      <c r="C45" s="20" t="s">
        <v>69</v>
      </c>
      <c r="D45" s="8" t="n">
        <v>3202.92</v>
      </c>
      <c r="E45" s="19" t="n">
        <v>0.435897153484926</v>
      </c>
      <c r="F45" s="8" t="n">
        <v>1396.14371083994</v>
      </c>
      <c r="G45" s="8" t="n">
        <v>2061.8629354127</v>
      </c>
      <c r="H45" s="20" t="n">
        <v>291</v>
      </c>
      <c r="I45" s="21" t="n">
        <v>32</v>
      </c>
      <c r="J45" s="20" t="s">
        <v>70</v>
      </c>
      <c r="K45" s="20" t="s">
        <v>78</v>
      </c>
      <c r="L45" s="20" t="s">
        <v>79</v>
      </c>
    </row>
    <row r="46" customFormat="false" ht="15" hidden="false" customHeight="false" outlineLevel="0" collapsed="false">
      <c r="A46" s="20" t="n">
        <v>45</v>
      </c>
      <c r="B46" s="20" t="n">
        <v>16041</v>
      </c>
      <c r="C46" s="20" t="s">
        <v>69</v>
      </c>
      <c r="D46" s="8" t="n">
        <v>3166.4</v>
      </c>
      <c r="E46" s="19" t="n">
        <v>0.295241111932241</v>
      </c>
      <c r="F46" s="8" t="n">
        <v>934.851456822247</v>
      </c>
      <c r="G46" s="8" t="n">
        <v>1020.41286368924</v>
      </c>
      <c r="H46" s="20" t="n">
        <v>31</v>
      </c>
      <c r="I46" s="21" t="n">
        <v>55.5</v>
      </c>
      <c r="J46" s="20" t="s">
        <v>86</v>
      </c>
      <c r="K46" s="20" t="s">
        <v>74</v>
      </c>
      <c r="L46" s="20" t="s">
        <v>87</v>
      </c>
    </row>
    <row r="47" customFormat="false" ht="15" hidden="false" customHeight="false" outlineLevel="0" collapsed="false">
      <c r="A47" s="20" t="n">
        <v>46</v>
      </c>
      <c r="B47" s="20" t="n">
        <v>13135</v>
      </c>
      <c r="C47" s="20" t="s">
        <v>69</v>
      </c>
      <c r="D47" s="8" t="n">
        <v>3096</v>
      </c>
      <c r="E47" s="19" t="n">
        <v>0.425130949558342</v>
      </c>
      <c r="F47" s="8" t="n">
        <v>1316.20541983263</v>
      </c>
      <c r="G47" s="8" t="n">
        <v>1507.91304414006</v>
      </c>
      <c r="H47" s="20" t="n">
        <v>197</v>
      </c>
      <c r="I47" s="21" t="n">
        <v>295</v>
      </c>
      <c r="J47" s="20" t="s">
        <v>73</v>
      </c>
      <c r="K47" s="20" t="s">
        <v>74</v>
      </c>
      <c r="L47" s="20" t="s">
        <v>75</v>
      </c>
    </row>
    <row r="48" customFormat="false" ht="15" hidden="false" customHeight="false" outlineLevel="0" collapsed="false">
      <c r="A48" s="20" t="n">
        <v>47</v>
      </c>
      <c r="B48" s="20" t="n">
        <v>15491</v>
      </c>
      <c r="C48" s="20" t="s">
        <v>69</v>
      </c>
      <c r="D48" s="8" t="n">
        <v>3090.85</v>
      </c>
      <c r="E48" s="19" t="n">
        <v>0.2814688224509</v>
      </c>
      <c r="F48" s="8" t="n">
        <v>869.977909872365</v>
      </c>
      <c r="G48" s="8" t="n">
        <v>2246.91962728636</v>
      </c>
      <c r="H48" s="20" t="n">
        <v>96</v>
      </c>
      <c r="I48" s="21" t="n">
        <v>28</v>
      </c>
      <c r="J48" s="20" t="s">
        <v>70</v>
      </c>
      <c r="K48" s="20" t="s">
        <v>78</v>
      </c>
      <c r="L48" s="20" t="s">
        <v>72</v>
      </c>
    </row>
    <row r="49" customFormat="false" ht="15" hidden="false" customHeight="false" outlineLevel="0" collapsed="false">
      <c r="A49" s="20" t="n">
        <v>48</v>
      </c>
      <c r="B49" s="20" t="n">
        <v>13869</v>
      </c>
      <c r="C49" s="20" t="s">
        <v>69</v>
      </c>
      <c r="D49" s="8" t="n">
        <v>3083.65</v>
      </c>
      <c r="E49" s="19" t="n">
        <v>0.218162864023434</v>
      </c>
      <c r="F49" s="8" t="n">
        <v>672.737915645862</v>
      </c>
      <c r="G49" s="8" t="n">
        <v>2899.53431074896</v>
      </c>
      <c r="H49" s="20" t="n">
        <v>124</v>
      </c>
      <c r="I49" s="21" t="n">
        <v>63.1</v>
      </c>
      <c r="J49" s="20" t="s">
        <v>76</v>
      </c>
      <c r="K49" s="20" t="s">
        <v>71</v>
      </c>
      <c r="L49" s="20" t="s">
        <v>72</v>
      </c>
    </row>
    <row r="50" customFormat="false" ht="15" hidden="false" customHeight="false" outlineLevel="0" collapsed="false">
      <c r="A50" s="20" t="n">
        <v>49</v>
      </c>
      <c r="B50" s="20" t="n">
        <v>13842</v>
      </c>
      <c r="C50" s="20" t="s">
        <v>69</v>
      </c>
      <c r="D50" s="8" t="n">
        <v>3075.05</v>
      </c>
      <c r="E50" s="19" t="n">
        <v>0.103218938413277</v>
      </c>
      <c r="F50" s="8" t="n">
        <v>317.403396567748</v>
      </c>
      <c r="G50" s="8" t="n">
        <v>2382.60626638852</v>
      </c>
      <c r="H50" s="20" t="n">
        <v>59</v>
      </c>
      <c r="I50" s="21" t="n">
        <v>35.5</v>
      </c>
      <c r="J50" s="20" t="s">
        <v>76</v>
      </c>
      <c r="K50" s="20" t="s">
        <v>71</v>
      </c>
      <c r="L50" s="20" t="s">
        <v>72</v>
      </c>
    </row>
    <row r="51" customFormat="false" ht="15" hidden="false" customHeight="false" outlineLevel="0" collapsed="false">
      <c r="A51" s="20" t="n">
        <v>50</v>
      </c>
      <c r="B51" s="20" t="n">
        <v>12643</v>
      </c>
      <c r="C51" s="20" t="s">
        <v>80</v>
      </c>
      <c r="D51" s="8" t="n">
        <v>3041.64</v>
      </c>
      <c r="E51" s="19" t="n">
        <v>0.243321290160632</v>
      </c>
      <c r="F51" s="8" t="n">
        <v>740.095769004185</v>
      </c>
      <c r="G51" s="8" t="n">
        <v>2654.89732615301</v>
      </c>
      <c r="H51" s="20" t="n">
        <v>129</v>
      </c>
      <c r="I51" s="21" t="n">
        <v>48.3</v>
      </c>
      <c r="J51" s="20" t="s">
        <v>76</v>
      </c>
      <c r="K51" s="20" t="s">
        <v>71</v>
      </c>
      <c r="L51" s="20" t="s">
        <v>72</v>
      </c>
    </row>
    <row r="52" customFormat="false" ht="15" hidden="false" customHeight="false" outlineLevel="0" collapsed="false">
      <c r="A52" s="20" t="n">
        <v>51</v>
      </c>
      <c r="B52" s="20" t="n">
        <v>16709</v>
      </c>
      <c r="C52" s="20" t="s">
        <v>69</v>
      </c>
      <c r="D52" s="8" t="n">
        <v>3029.87</v>
      </c>
      <c r="E52" s="19" t="n">
        <v>0.133926170269644</v>
      </c>
      <c r="F52" s="8" t="n">
        <v>405.778885514888</v>
      </c>
      <c r="G52" s="8" t="n">
        <v>3267.17153701155</v>
      </c>
      <c r="H52" s="20" t="n">
        <v>85</v>
      </c>
      <c r="I52" s="21" t="n">
        <v>49.7</v>
      </c>
      <c r="J52" s="20" t="s">
        <v>76</v>
      </c>
      <c r="K52" s="20" t="s">
        <v>71</v>
      </c>
      <c r="L52" s="20" t="s">
        <v>72</v>
      </c>
    </row>
    <row r="53" customFormat="false" ht="15" hidden="false" customHeight="false" outlineLevel="0" collapsed="false">
      <c r="A53" s="20" t="n">
        <v>52</v>
      </c>
      <c r="B53" s="20" t="n">
        <v>13631</v>
      </c>
      <c r="C53" s="20" t="s">
        <v>69</v>
      </c>
      <c r="D53" s="8" t="n">
        <v>3021.77</v>
      </c>
      <c r="E53" s="19" t="n">
        <v>0.317093089771217</v>
      </c>
      <c r="F53" s="8" t="n">
        <v>958.182385877971</v>
      </c>
      <c r="G53" s="8" t="n">
        <v>2756.59691798092</v>
      </c>
      <c r="H53" s="20" t="n">
        <v>100</v>
      </c>
      <c r="I53" s="21" t="n">
        <v>16.8</v>
      </c>
      <c r="J53" s="20" t="s">
        <v>70</v>
      </c>
      <c r="K53" s="20" t="s">
        <v>78</v>
      </c>
      <c r="L53" s="20" t="s">
        <v>72</v>
      </c>
    </row>
    <row r="54" customFormat="false" ht="15" hidden="false" customHeight="false" outlineLevel="0" collapsed="false">
      <c r="A54" s="20" t="n">
        <v>53</v>
      </c>
      <c r="B54" s="20" t="n">
        <v>18094</v>
      </c>
      <c r="C54" s="20" t="s">
        <v>69</v>
      </c>
      <c r="D54" s="8" t="n">
        <v>3017.3</v>
      </c>
      <c r="E54" s="19" t="n">
        <v>0.179763064838212</v>
      </c>
      <c r="F54" s="8" t="n">
        <v>542.399095536336</v>
      </c>
      <c r="G54" s="8" t="n">
        <v>2441.00528428469</v>
      </c>
      <c r="H54" s="20" t="n">
        <v>82</v>
      </c>
      <c r="I54" s="21" t="n">
        <v>51.7</v>
      </c>
      <c r="J54" s="20" t="s">
        <v>76</v>
      </c>
      <c r="K54" s="20" t="s">
        <v>71</v>
      </c>
      <c r="L54" s="20" t="s">
        <v>72</v>
      </c>
    </row>
    <row r="55" customFormat="false" ht="15" hidden="false" customHeight="false" outlineLevel="0" collapsed="false">
      <c r="A55" s="20" t="n">
        <v>54</v>
      </c>
      <c r="B55" s="20" t="n">
        <v>12754</v>
      </c>
      <c r="C55" s="20" t="s">
        <v>88</v>
      </c>
      <c r="D55" s="8" t="n">
        <v>3010.74</v>
      </c>
      <c r="E55" s="19" t="n">
        <v>0.346049991979586</v>
      </c>
      <c r="F55" s="8" t="n">
        <v>1041.86655285262</v>
      </c>
      <c r="G55" s="8" t="n">
        <v>1749.9050853812</v>
      </c>
      <c r="H55" s="20" t="n">
        <v>236</v>
      </c>
      <c r="I55" s="21" t="n">
        <v>36.5</v>
      </c>
      <c r="J55" s="20" t="s">
        <v>70</v>
      </c>
      <c r="K55" s="20" t="s">
        <v>78</v>
      </c>
      <c r="L55" s="20" t="s">
        <v>89</v>
      </c>
    </row>
    <row r="56" customFormat="false" ht="15" hidden="false" customHeight="false" outlineLevel="0" collapsed="false">
      <c r="A56" s="20" t="n">
        <v>55</v>
      </c>
      <c r="B56" s="20" t="n">
        <v>12502</v>
      </c>
      <c r="C56" s="20" t="s">
        <v>90</v>
      </c>
      <c r="D56" s="8" t="n">
        <v>2995.87</v>
      </c>
      <c r="E56" s="19" t="n">
        <v>0.18375076063895</v>
      </c>
      <c r="F56" s="8" t="n">
        <v>550.493391275411</v>
      </c>
      <c r="G56" s="8" t="n">
        <v>2192.09603982941</v>
      </c>
      <c r="H56" s="20" t="n">
        <v>96</v>
      </c>
      <c r="I56" s="21" t="n">
        <v>53.5</v>
      </c>
      <c r="J56" s="20" t="s">
        <v>76</v>
      </c>
      <c r="K56" s="20" t="s">
        <v>71</v>
      </c>
      <c r="L56" s="20" t="s">
        <v>72</v>
      </c>
    </row>
    <row r="57" customFormat="false" ht="15" hidden="false" customHeight="false" outlineLevel="0" collapsed="false">
      <c r="A57" s="20" t="n">
        <v>56</v>
      </c>
      <c r="B57" s="20" t="n">
        <v>16497</v>
      </c>
      <c r="C57" s="20" t="s">
        <v>69</v>
      </c>
      <c r="D57" s="8" t="n">
        <v>2965.69</v>
      </c>
      <c r="E57" s="19" t="n">
        <v>0.0799872142808365</v>
      </c>
      <c r="F57" s="8" t="n">
        <v>237.217281520534</v>
      </c>
      <c r="G57" s="8" t="n">
        <v>2764.08902679447</v>
      </c>
      <c r="H57" s="20" t="n">
        <v>50</v>
      </c>
      <c r="I57" s="21" t="n">
        <v>31.2</v>
      </c>
      <c r="J57" s="20" t="s">
        <v>76</v>
      </c>
      <c r="K57" s="20" t="s">
        <v>71</v>
      </c>
      <c r="L57" s="20" t="s">
        <v>72</v>
      </c>
    </row>
    <row r="58" customFormat="false" ht="15" hidden="false" customHeight="false" outlineLevel="0" collapsed="false">
      <c r="A58" s="20" t="n">
        <v>57</v>
      </c>
      <c r="B58" s="20" t="n">
        <v>12916</v>
      </c>
      <c r="C58" s="20" t="s">
        <v>69</v>
      </c>
      <c r="D58" s="8" t="n">
        <v>2921.15</v>
      </c>
      <c r="E58" s="19" t="n">
        <v>0.283286789562481</v>
      </c>
      <c r="F58" s="8" t="n">
        <v>827.52320533044</v>
      </c>
      <c r="G58" s="8" t="n">
        <v>1805.72444131933</v>
      </c>
      <c r="H58" s="20" t="n">
        <v>139</v>
      </c>
      <c r="I58" s="21" t="n">
        <v>91</v>
      </c>
      <c r="J58" s="20" t="s">
        <v>76</v>
      </c>
      <c r="K58" s="20" t="s">
        <v>78</v>
      </c>
      <c r="L58" s="20" t="s">
        <v>72</v>
      </c>
    </row>
    <row r="59" customFormat="false" ht="15" hidden="false" customHeight="false" outlineLevel="0" collapsed="false">
      <c r="A59" s="20" t="n">
        <v>58</v>
      </c>
      <c r="B59" s="20" t="n">
        <v>13901</v>
      </c>
      <c r="C59" s="20" t="s">
        <v>69</v>
      </c>
      <c r="D59" s="8" t="n">
        <v>2867.2</v>
      </c>
      <c r="E59" s="19" t="n">
        <v>0.1324112400965</v>
      </c>
      <c r="F59" s="8" t="n">
        <v>379.649507604685</v>
      </c>
      <c r="G59" s="8" t="n">
        <v>2388.3034889929</v>
      </c>
      <c r="H59" s="20" t="n">
        <v>73</v>
      </c>
      <c r="I59" s="21" t="n">
        <v>45.1</v>
      </c>
      <c r="J59" s="20" t="s">
        <v>76</v>
      </c>
      <c r="K59" s="20" t="s">
        <v>71</v>
      </c>
      <c r="L59" s="20" t="s">
        <v>72</v>
      </c>
    </row>
    <row r="60" customFormat="false" ht="15" hidden="false" customHeight="false" outlineLevel="0" collapsed="false">
      <c r="A60" s="20" t="n">
        <v>59</v>
      </c>
      <c r="B60" s="20" t="n">
        <v>14852</v>
      </c>
      <c r="C60" s="20" t="s">
        <v>69</v>
      </c>
      <c r="D60" s="8" t="n">
        <v>2836.69</v>
      </c>
      <c r="E60" s="19" t="n">
        <v>0.119063367137517</v>
      </c>
      <c r="F60" s="8" t="n">
        <v>337.745862925322</v>
      </c>
      <c r="G60" s="8" t="n">
        <v>2749.37737923133</v>
      </c>
      <c r="H60" s="20" t="n">
        <v>59</v>
      </c>
      <c r="I60" s="21" t="n">
        <v>34.5</v>
      </c>
      <c r="J60" s="20" t="s">
        <v>76</v>
      </c>
      <c r="K60" s="20" t="s">
        <v>71</v>
      </c>
      <c r="L60" s="20" t="s">
        <v>72</v>
      </c>
    </row>
    <row r="61" customFormat="false" ht="15" hidden="false" customHeight="false" outlineLevel="0" collapsed="false">
      <c r="A61" s="20" t="n">
        <v>60</v>
      </c>
      <c r="B61" s="20" t="n">
        <v>16316</v>
      </c>
      <c r="C61" s="20" t="s">
        <v>69</v>
      </c>
      <c r="D61" s="8" t="n">
        <v>2786.16</v>
      </c>
      <c r="E61" s="19" t="n">
        <v>0.121921636722308</v>
      </c>
      <c r="F61" s="8" t="n">
        <v>339.693187370225</v>
      </c>
      <c r="G61" s="8" t="n">
        <v>2873.37160444323</v>
      </c>
      <c r="H61" s="20" t="n">
        <v>65</v>
      </c>
      <c r="I61" s="21" t="n">
        <v>35.8</v>
      </c>
      <c r="J61" s="20" t="s">
        <v>76</v>
      </c>
      <c r="K61" s="20" t="s">
        <v>71</v>
      </c>
      <c r="L61" s="20" t="s">
        <v>72</v>
      </c>
    </row>
    <row r="62" customFormat="false" ht="15" hidden="false" customHeight="false" outlineLevel="0" collapsed="false">
      <c r="A62" s="20" t="n">
        <v>61</v>
      </c>
      <c r="B62" s="20" t="n">
        <v>17084</v>
      </c>
      <c r="C62" s="20" t="s">
        <v>69</v>
      </c>
      <c r="D62" s="8" t="n">
        <v>2747.99</v>
      </c>
      <c r="E62" s="19" t="n">
        <v>0.276285359921035</v>
      </c>
      <c r="F62" s="8" t="n">
        <v>759.229406209406</v>
      </c>
      <c r="G62" s="8" t="n">
        <v>1700.94685902259</v>
      </c>
      <c r="H62" s="20" t="n">
        <v>36</v>
      </c>
      <c r="I62" s="21" t="n">
        <v>180.5</v>
      </c>
      <c r="J62" s="20" t="s">
        <v>86</v>
      </c>
      <c r="K62" s="20" t="s">
        <v>74</v>
      </c>
      <c r="L62" s="20" t="s">
        <v>87</v>
      </c>
    </row>
    <row r="63" customFormat="false" ht="15" hidden="false" customHeight="false" outlineLevel="0" collapsed="false">
      <c r="A63" s="20" t="n">
        <v>62</v>
      </c>
      <c r="B63" s="20" t="n">
        <v>17504</v>
      </c>
      <c r="C63" s="20" t="s">
        <v>69</v>
      </c>
      <c r="D63" s="8" t="n">
        <v>2745.28</v>
      </c>
      <c r="E63" s="19" t="n">
        <v>0.372081868877063</v>
      </c>
      <c r="F63" s="8" t="n">
        <v>1021.46891299082</v>
      </c>
      <c r="G63" s="8" t="n">
        <v>2443.07046749441</v>
      </c>
      <c r="H63" s="20" t="n">
        <v>207</v>
      </c>
      <c r="I63" s="21" t="n">
        <v>28.9</v>
      </c>
      <c r="J63" s="20" t="s">
        <v>70</v>
      </c>
      <c r="K63" s="20" t="s">
        <v>78</v>
      </c>
      <c r="L63" s="20" t="s">
        <v>79</v>
      </c>
    </row>
    <row r="64" customFormat="false" ht="15" hidden="false" customHeight="false" outlineLevel="0" collapsed="false">
      <c r="A64" s="20" t="n">
        <v>63</v>
      </c>
      <c r="B64" s="20" t="n">
        <v>13047</v>
      </c>
      <c r="C64" s="20" t="s">
        <v>69</v>
      </c>
      <c r="D64" s="8" t="n">
        <v>2722.47</v>
      </c>
      <c r="E64" s="19" t="n">
        <v>0.0970638716536678</v>
      </c>
      <c r="F64" s="8" t="n">
        <v>264.253478660961</v>
      </c>
      <c r="G64" s="8" t="n">
        <v>3457.4664156068</v>
      </c>
      <c r="H64" s="20" t="n">
        <v>47</v>
      </c>
      <c r="I64" s="21" t="n">
        <v>30.3</v>
      </c>
      <c r="J64" s="20" t="s">
        <v>76</v>
      </c>
      <c r="K64" s="20" t="s">
        <v>71</v>
      </c>
      <c r="L64" s="20" t="s">
        <v>72</v>
      </c>
    </row>
    <row r="65" customFormat="false" ht="15" hidden="false" customHeight="false" outlineLevel="0" collapsed="false">
      <c r="A65" s="20" t="n">
        <v>64</v>
      </c>
      <c r="B65" s="20" t="n">
        <v>12840</v>
      </c>
      <c r="C65" s="20" t="s">
        <v>69</v>
      </c>
      <c r="D65" s="8" t="n">
        <v>2714.27</v>
      </c>
      <c r="E65" s="19" t="n">
        <v>0.309257274270066</v>
      </c>
      <c r="F65" s="8" t="n">
        <v>839.407741833011</v>
      </c>
      <c r="G65" s="8" t="n">
        <v>1742.29335903017</v>
      </c>
      <c r="H65" s="20" t="n">
        <v>144</v>
      </c>
      <c r="I65" s="21" t="n">
        <v>88.5</v>
      </c>
      <c r="J65" s="20" t="s">
        <v>76</v>
      </c>
      <c r="K65" s="20" t="s">
        <v>78</v>
      </c>
      <c r="L65" s="20" t="s">
        <v>72</v>
      </c>
    </row>
    <row r="66" customFormat="false" ht="15" hidden="false" customHeight="false" outlineLevel="0" collapsed="false">
      <c r="A66" s="20" t="n">
        <v>65</v>
      </c>
      <c r="B66" s="20" t="n">
        <v>15808</v>
      </c>
      <c r="C66" s="20" t="s">
        <v>69</v>
      </c>
      <c r="D66" s="8" t="n">
        <v>2688.02</v>
      </c>
      <c r="E66" s="19" t="n">
        <v>0.479210689285992</v>
      </c>
      <c r="F66" s="8" t="n">
        <v>1288.12791701453</v>
      </c>
      <c r="G66" s="8" t="n">
        <v>63.438315251964</v>
      </c>
      <c r="H66" s="20" t="n">
        <v>307</v>
      </c>
      <c r="I66" s="21" t="n">
        <v>21.6</v>
      </c>
      <c r="J66" s="20" t="s">
        <v>70</v>
      </c>
      <c r="K66" s="20" t="s">
        <v>78</v>
      </c>
      <c r="L66" s="20" t="s">
        <v>79</v>
      </c>
    </row>
    <row r="67" customFormat="false" ht="15" hidden="false" customHeight="false" outlineLevel="0" collapsed="false">
      <c r="A67" s="20" t="n">
        <v>66</v>
      </c>
      <c r="B67" s="20" t="n">
        <v>14439</v>
      </c>
      <c r="C67" s="20" t="s">
        <v>91</v>
      </c>
      <c r="D67" s="8" t="n">
        <v>2661.24</v>
      </c>
      <c r="E67" s="19" t="n">
        <v>0.380803274513951</v>
      </c>
      <c r="F67" s="8" t="n">
        <v>1013.40890626751</v>
      </c>
      <c r="G67" s="8" t="n">
        <v>2362.60170916599</v>
      </c>
      <c r="H67" s="20" t="n">
        <v>320</v>
      </c>
      <c r="I67" s="21" t="n">
        <v>92</v>
      </c>
      <c r="J67" s="20" t="s">
        <v>70</v>
      </c>
      <c r="K67" s="20" t="s">
        <v>78</v>
      </c>
      <c r="L67" s="20" t="s">
        <v>89</v>
      </c>
    </row>
    <row r="68" customFormat="false" ht="15" hidden="false" customHeight="false" outlineLevel="0" collapsed="false">
      <c r="A68" s="20" t="n">
        <v>67</v>
      </c>
      <c r="B68" s="20" t="n">
        <v>16928</v>
      </c>
      <c r="C68" s="20" t="s">
        <v>69</v>
      </c>
      <c r="D68" s="8" t="n">
        <v>2644.4</v>
      </c>
      <c r="E68" s="19" t="n">
        <v>0.23466782775834</v>
      </c>
      <c r="F68" s="8" t="n">
        <v>620.555603724155</v>
      </c>
      <c r="G68" s="8" t="n">
        <v>1705.85423415582</v>
      </c>
      <c r="H68" s="20" t="n">
        <v>81</v>
      </c>
      <c r="I68" s="21" t="n">
        <v>23.8</v>
      </c>
      <c r="J68" s="20" t="s">
        <v>70</v>
      </c>
      <c r="K68" s="20" t="s">
        <v>71</v>
      </c>
      <c r="L68" s="20" t="s">
        <v>72</v>
      </c>
    </row>
    <row r="69" customFormat="false" ht="15" hidden="false" customHeight="false" outlineLevel="0" collapsed="false">
      <c r="A69" s="20" t="n">
        <v>68</v>
      </c>
      <c r="B69" s="20" t="n">
        <v>18260</v>
      </c>
      <c r="C69" s="20" t="s">
        <v>69</v>
      </c>
      <c r="D69" s="8" t="n">
        <v>2592.9</v>
      </c>
      <c r="E69" s="19" t="n">
        <v>0.374979856898066</v>
      </c>
      <c r="F69" s="8" t="n">
        <v>972.285270950994</v>
      </c>
      <c r="G69" s="8" t="n">
        <v>2065.84385680766</v>
      </c>
      <c r="H69" s="20" t="n">
        <v>173</v>
      </c>
      <c r="I69" s="21" t="n">
        <v>25.1</v>
      </c>
      <c r="J69" s="20" t="s">
        <v>70</v>
      </c>
      <c r="K69" s="20" t="s">
        <v>78</v>
      </c>
      <c r="L69" s="20" t="s">
        <v>72</v>
      </c>
    </row>
    <row r="70" customFormat="false" ht="15" hidden="false" customHeight="false" outlineLevel="0" collapsed="false">
      <c r="A70" s="20" t="n">
        <v>69</v>
      </c>
      <c r="B70" s="20" t="n">
        <v>13911</v>
      </c>
      <c r="C70" s="20" t="s">
        <v>69</v>
      </c>
      <c r="D70" s="8" t="n">
        <v>2580.91</v>
      </c>
      <c r="E70" s="19" t="n">
        <v>0.117576905475169</v>
      </c>
      <c r="F70" s="8" t="n">
        <v>303.455411109918</v>
      </c>
      <c r="G70" s="8" t="n">
        <v>2036.21066722135</v>
      </c>
      <c r="H70" s="20" t="n">
        <v>58</v>
      </c>
      <c r="I70" s="21" t="n">
        <v>31.1</v>
      </c>
      <c r="J70" s="20" t="s">
        <v>76</v>
      </c>
      <c r="K70" s="20" t="s">
        <v>71</v>
      </c>
      <c r="L70" s="20" t="s">
        <v>72</v>
      </c>
    </row>
    <row r="71" customFormat="false" ht="15" hidden="false" customHeight="false" outlineLevel="0" collapsed="false">
      <c r="A71" s="20" t="n">
        <v>70</v>
      </c>
      <c r="B71" s="20" t="n">
        <v>15245</v>
      </c>
      <c r="C71" s="20" t="s">
        <v>69</v>
      </c>
      <c r="D71" s="8" t="n">
        <v>2515.84</v>
      </c>
      <c r="E71" s="19" t="n">
        <v>0.251940628433669</v>
      </c>
      <c r="F71" s="8" t="n">
        <v>633.842310638563</v>
      </c>
      <c r="G71" s="8" t="n">
        <v>2033.52947834116</v>
      </c>
      <c r="H71" s="20" t="n">
        <v>135</v>
      </c>
      <c r="I71" s="21" t="n">
        <v>65.9</v>
      </c>
      <c r="J71" s="20" t="s">
        <v>76</v>
      </c>
      <c r="K71" s="20" t="s">
        <v>78</v>
      </c>
      <c r="L71" s="20" t="s">
        <v>72</v>
      </c>
    </row>
    <row r="72" customFormat="false" ht="15" hidden="false" customHeight="false" outlineLevel="0" collapsed="false">
      <c r="A72" s="20" t="n">
        <v>71</v>
      </c>
      <c r="B72" s="20" t="n">
        <v>13344</v>
      </c>
      <c r="C72" s="20" t="s">
        <v>69</v>
      </c>
      <c r="D72" s="8" t="n">
        <v>2511.69</v>
      </c>
      <c r="E72" s="19" t="n">
        <v>0.272672170561444</v>
      </c>
      <c r="F72" s="8" t="n">
        <v>684.867964077473</v>
      </c>
      <c r="G72" s="8" t="n">
        <v>921.705750418727</v>
      </c>
      <c r="H72" s="20" t="n">
        <v>68</v>
      </c>
      <c r="I72" s="21" t="n">
        <v>105</v>
      </c>
      <c r="J72" s="20" t="s">
        <v>86</v>
      </c>
      <c r="K72" s="20" t="s">
        <v>74</v>
      </c>
      <c r="L72" s="20" t="s">
        <v>92</v>
      </c>
    </row>
    <row r="73" customFormat="false" ht="15" hidden="false" customHeight="false" outlineLevel="0" collapsed="false">
      <c r="A73" s="20" t="n">
        <v>72</v>
      </c>
      <c r="B73" s="20" t="n">
        <v>17965</v>
      </c>
      <c r="C73" s="20" t="s">
        <v>69</v>
      </c>
      <c r="D73" s="8" t="n">
        <v>2448.64</v>
      </c>
      <c r="E73" s="19" t="n">
        <v>0.0725087589669164</v>
      </c>
      <c r="F73" s="8" t="n">
        <v>177.54784755675</v>
      </c>
      <c r="G73" s="8" t="n">
        <v>2941.22572383609</v>
      </c>
      <c r="H73" s="20" t="n">
        <v>38</v>
      </c>
      <c r="I73" s="21" t="n">
        <v>24.6</v>
      </c>
      <c r="J73" s="20" t="s">
        <v>76</v>
      </c>
      <c r="K73" s="20" t="s">
        <v>71</v>
      </c>
      <c r="L73" s="20" t="s">
        <v>72</v>
      </c>
    </row>
    <row r="74" customFormat="false" ht="15" hidden="false" customHeight="false" outlineLevel="0" collapsed="false">
      <c r="A74" s="20" t="n">
        <v>73</v>
      </c>
      <c r="B74" s="20" t="n">
        <v>15606</v>
      </c>
      <c r="C74" s="20" t="s">
        <v>69</v>
      </c>
      <c r="D74" s="8" t="n">
        <v>2422.64</v>
      </c>
      <c r="E74" s="19" t="n">
        <v>0.147704220325546</v>
      </c>
      <c r="F74" s="8" t="n">
        <v>357.834152329481</v>
      </c>
      <c r="G74" s="8" t="n">
        <v>2404.11982171717</v>
      </c>
      <c r="H74" s="20" t="n">
        <v>62</v>
      </c>
      <c r="I74" s="21" t="n">
        <v>36.6</v>
      </c>
      <c r="J74" s="20" t="s">
        <v>76</v>
      </c>
      <c r="K74" s="20" t="s">
        <v>71</v>
      </c>
      <c r="L74" s="20" t="s">
        <v>72</v>
      </c>
    </row>
    <row r="75" customFormat="false" ht="15" hidden="false" customHeight="false" outlineLevel="0" collapsed="false">
      <c r="A75" s="20" t="n">
        <v>74</v>
      </c>
      <c r="B75" s="20" t="n">
        <v>17589</v>
      </c>
      <c r="C75" s="20" t="s">
        <v>69</v>
      </c>
      <c r="D75" s="8" t="n">
        <v>2402.92</v>
      </c>
      <c r="E75" s="19" t="n">
        <v>0.101824025789861</v>
      </c>
      <c r="F75" s="8" t="n">
        <v>244.674988050973</v>
      </c>
      <c r="G75" s="8" t="n">
        <v>6113.31512508302</v>
      </c>
      <c r="H75" s="20" t="n">
        <v>61</v>
      </c>
      <c r="I75" s="21" t="n">
        <v>34.2</v>
      </c>
      <c r="J75" s="20" t="s">
        <v>76</v>
      </c>
      <c r="K75" s="20" t="s">
        <v>71</v>
      </c>
      <c r="L75" s="20" t="s">
        <v>72</v>
      </c>
    </row>
    <row r="76" customFormat="false" ht="15" hidden="false" customHeight="false" outlineLevel="0" collapsed="false">
      <c r="A76" s="20" t="n">
        <v>75</v>
      </c>
      <c r="B76" s="20" t="n">
        <v>16919</v>
      </c>
      <c r="C76" s="20" t="s">
        <v>69</v>
      </c>
      <c r="D76" s="8" t="n">
        <v>2393.9</v>
      </c>
      <c r="E76" s="19" t="n">
        <v>0.425493913202026</v>
      </c>
      <c r="F76" s="8" t="n">
        <v>1018.58987881433</v>
      </c>
      <c r="G76" s="8" t="n">
        <v>345.145489154126</v>
      </c>
      <c r="H76" s="20" t="n">
        <v>157</v>
      </c>
      <c r="I76" s="21" t="n">
        <v>14</v>
      </c>
      <c r="J76" s="20" t="s">
        <v>70</v>
      </c>
      <c r="K76" s="20" t="s">
        <v>78</v>
      </c>
      <c r="L76" s="20" t="s">
        <v>72</v>
      </c>
    </row>
    <row r="77" customFormat="false" ht="15" hidden="false" customHeight="false" outlineLevel="0" collapsed="false">
      <c r="A77" s="20" t="n">
        <v>76</v>
      </c>
      <c r="B77" s="20" t="n">
        <v>17444</v>
      </c>
      <c r="C77" s="20" t="s">
        <v>93</v>
      </c>
      <c r="D77" s="8" t="n">
        <v>2389.1</v>
      </c>
      <c r="E77" s="19" t="n">
        <v>0.365638959679584</v>
      </c>
      <c r="F77" s="8" t="n">
        <v>873.548038570494</v>
      </c>
      <c r="G77" s="8" t="n">
        <v>1423.02792872327</v>
      </c>
      <c r="H77" s="20" t="n">
        <v>152</v>
      </c>
      <c r="I77" s="21" t="n">
        <v>21</v>
      </c>
      <c r="J77" s="20" t="s">
        <v>73</v>
      </c>
      <c r="K77" s="20" t="s">
        <v>74</v>
      </c>
      <c r="L77" s="20" t="s">
        <v>82</v>
      </c>
    </row>
    <row r="78" customFormat="false" ht="15" hidden="false" customHeight="false" outlineLevel="0" collapsed="false">
      <c r="A78" s="20" t="n">
        <v>77</v>
      </c>
      <c r="B78" s="20" t="n">
        <v>13141</v>
      </c>
      <c r="C78" s="20" t="s">
        <v>69</v>
      </c>
      <c r="D78" s="8" t="n">
        <v>2385.8</v>
      </c>
      <c r="E78" s="19" t="n">
        <v>0.132225231064662</v>
      </c>
      <c r="F78" s="8" t="n">
        <v>315.462956274072</v>
      </c>
      <c r="G78" s="8" t="n">
        <v>3073.85089193758</v>
      </c>
      <c r="H78" s="20" t="n">
        <v>85</v>
      </c>
      <c r="I78" s="21" t="n">
        <v>40.4</v>
      </c>
      <c r="J78" s="20" t="s">
        <v>76</v>
      </c>
      <c r="K78" s="20" t="s">
        <v>71</v>
      </c>
      <c r="L78" s="20" t="s">
        <v>72</v>
      </c>
    </row>
    <row r="79" customFormat="false" ht="15" hidden="false" customHeight="false" outlineLevel="0" collapsed="false">
      <c r="A79" s="20" t="n">
        <v>78</v>
      </c>
      <c r="B79" s="20" t="n">
        <v>13722</v>
      </c>
      <c r="C79" s="20" t="s">
        <v>69</v>
      </c>
      <c r="D79" s="8" t="n">
        <v>2369.16</v>
      </c>
      <c r="E79" s="19" t="n">
        <v>0.266123762240173</v>
      </c>
      <c r="F79" s="8" t="n">
        <v>630.489772548927</v>
      </c>
      <c r="G79" s="8" t="n">
        <v>2247.19684873391</v>
      </c>
      <c r="H79" s="20" t="n">
        <v>121</v>
      </c>
      <c r="I79" s="21" t="n">
        <v>57.2</v>
      </c>
      <c r="J79" s="20" t="s">
        <v>76</v>
      </c>
      <c r="K79" s="20" t="s">
        <v>78</v>
      </c>
      <c r="L79" s="20" t="s">
        <v>72</v>
      </c>
    </row>
    <row r="80" customFormat="false" ht="15" hidden="false" customHeight="false" outlineLevel="0" collapsed="false">
      <c r="A80" s="20" t="n">
        <v>79</v>
      </c>
      <c r="B80" s="20" t="n">
        <v>12625</v>
      </c>
      <c r="C80" s="20" t="s">
        <v>77</v>
      </c>
      <c r="D80" s="8" t="n">
        <v>2362.32</v>
      </c>
      <c r="E80" s="19" t="n">
        <v>0.302904929899243</v>
      </c>
      <c r="F80" s="8" t="n">
        <v>715.558373999579</v>
      </c>
      <c r="G80" s="8" t="n">
        <v>1716.9719086199</v>
      </c>
      <c r="H80" s="20" t="n">
        <v>212</v>
      </c>
      <c r="I80" s="21" t="n">
        <v>128.3</v>
      </c>
      <c r="J80" s="20" t="s">
        <v>76</v>
      </c>
      <c r="K80" s="20" t="s">
        <v>78</v>
      </c>
      <c r="L80" s="20" t="s">
        <v>89</v>
      </c>
    </row>
    <row r="81" customFormat="false" ht="15" hidden="false" customHeight="false" outlineLevel="0" collapsed="false">
      <c r="A81" s="20" t="n">
        <v>80</v>
      </c>
      <c r="B81" s="20" t="n">
        <v>12520</v>
      </c>
      <c r="C81" s="20" t="s">
        <v>77</v>
      </c>
      <c r="D81" s="8" t="n">
        <v>2294.51</v>
      </c>
      <c r="E81" s="19" t="n">
        <v>0.159091451247805</v>
      </c>
      <c r="F81" s="8" t="n">
        <v>365.036925802601</v>
      </c>
      <c r="G81" s="8" t="n">
        <v>1578.84324954603</v>
      </c>
      <c r="H81" s="20" t="n">
        <v>80</v>
      </c>
      <c r="I81" s="21" t="n">
        <v>48.5</v>
      </c>
      <c r="J81" s="20" t="s">
        <v>76</v>
      </c>
      <c r="K81" s="20" t="s">
        <v>71</v>
      </c>
      <c r="L81" s="20" t="s">
        <v>72</v>
      </c>
    </row>
    <row r="82" customFormat="false" ht="15" hidden="false" customHeight="false" outlineLevel="0" collapsed="false">
      <c r="A82" s="20" t="n">
        <v>81</v>
      </c>
      <c r="B82" s="20" t="n">
        <v>15704</v>
      </c>
      <c r="C82" s="20" t="s">
        <v>69</v>
      </c>
      <c r="D82" s="8" t="n">
        <v>2293.62</v>
      </c>
      <c r="E82" s="19" t="n">
        <v>0.337401014193295</v>
      </c>
      <c r="F82" s="8" t="n">
        <v>773.869714174026</v>
      </c>
      <c r="G82" s="8" t="n">
        <v>1450.18023564639</v>
      </c>
      <c r="H82" s="20" t="n">
        <v>141</v>
      </c>
      <c r="I82" s="21" t="n">
        <v>88.6</v>
      </c>
      <c r="J82" s="20" t="s">
        <v>76</v>
      </c>
      <c r="K82" s="20" t="s">
        <v>78</v>
      </c>
      <c r="L82" s="20" t="s">
        <v>72</v>
      </c>
    </row>
    <row r="83" customFormat="false" ht="15" hidden="false" customHeight="false" outlineLevel="0" collapsed="false">
      <c r="A83" s="20" t="n">
        <v>82</v>
      </c>
      <c r="B83" s="20" t="n">
        <v>14808</v>
      </c>
      <c r="C83" s="20" t="s">
        <v>69</v>
      </c>
      <c r="D83" s="8" t="n">
        <v>2277.8</v>
      </c>
      <c r="E83" s="19" t="n">
        <v>0.166455612101696</v>
      </c>
      <c r="F83" s="8" t="n">
        <v>379.152593245244</v>
      </c>
      <c r="G83" s="8" t="n">
        <v>2939.83390836909</v>
      </c>
      <c r="H83" s="20" t="n">
        <v>40</v>
      </c>
      <c r="I83" s="21" t="n">
        <v>19</v>
      </c>
      <c r="J83" s="20" t="s">
        <v>76</v>
      </c>
      <c r="K83" s="20" t="s">
        <v>71</v>
      </c>
      <c r="L83" s="20" t="s">
        <v>72</v>
      </c>
    </row>
    <row r="84" customFormat="false" ht="15" hidden="false" customHeight="false" outlineLevel="0" collapsed="false">
      <c r="A84" s="20" t="n">
        <v>83</v>
      </c>
      <c r="B84" s="20" t="n">
        <v>16477</v>
      </c>
      <c r="C84" s="20" t="s">
        <v>69</v>
      </c>
      <c r="D84" s="8" t="n">
        <v>2268.81</v>
      </c>
      <c r="E84" s="19" t="n">
        <v>0.11573273104723</v>
      </c>
      <c r="F84" s="8" t="n">
        <v>262.575577527266</v>
      </c>
      <c r="G84" s="8" t="n">
        <v>2278.74691340273</v>
      </c>
      <c r="H84" s="20" t="n">
        <v>64</v>
      </c>
      <c r="I84" s="21" t="n">
        <v>42.1</v>
      </c>
      <c r="J84" s="20" t="s">
        <v>76</v>
      </c>
      <c r="K84" s="20" t="s">
        <v>71</v>
      </c>
      <c r="L84" s="20" t="s">
        <v>72</v>
      </c>
    </row>
    <row r="85" customFormat="false" ht="15" hidden="false" customHeight="false" outlineLevel="0" collapsed="false">
      <c r="A85" s="20" t="n">
        <v>84</v>
      </c>
      <c r="B85" s="20" t="n">
        <v>16209</v>
      </c>
      <c r="C85" s="20" t="s">
        <v>69</v>
      </c>
      <c r="D85" s="8" t="n">
        <v>2262.62</v>
      </c>
      <c r="E85" s="19" t="n">
        <v>0.198299934078272</v>
      </c>
      <c r="F85" s="8" t="n">
        <v>448.67739684418</v>
      </c>
      <c r="G85" s="8" t="n">
        <v>1918.50513086488</v>
      </c>
      <c r="H85" s="20" t="n">
        <v>89</v>
      </c>
      <c r="I85" s="21" t="n">
        <v>57.3</v>
      </c>
      <c r="J85" s="20" t="s">
        <v>76</v>
      </c>
      <c r="K85" s="20" t="s">
        <v>71</v>
      </c>
      <c r="L85" s="20" t="s">
        <v>72</v>
      </c>
    </row>
    <row r="86" customFormat="false" ht="15" hidden="false" customHeight="false" outlineLevel="0" collapsed="false">
      <c r="A86" s="20" t="n">
        <v>85</v>
      </c>
      <c r="B86" s="20" t="n">
        <v>15281</v>
      </c>
      <c r="C86" s="20" t="s">
        <v>69</v>
      </c>
      <c r="D86" s="8" t="n">
        <v>2239.95</v>
      </c>
      <c r="E86" s="19" t="n">
        <v>0.116303559282308</v>
      </c>
      <c r="F86" s="8" t="n">
        <v>260.514157614405</v>
      </c>
      <c r="G86" s="8" t="n">
        <v>3258.03830484126</v>
      </c>
      <c r="H86" s="20" t="n">
        <v>59</v>
      </c>
      <c r="I86" s="21" t="n">
        <v>24.6</v>
      </c>
      <c r="J86" s="20" t="s">
        <v>76</v>
      </c>
      <c r="K86" s="20" t="s">
        <v>71</v>
      </c>
      <c r="L86" s="20" t="s">
        <v>72</v>
      </c>
    </row>
    <row r="87" customFormat="false" ht="15" hidden="false" customHeight="false" outlineLevel="0" collapsed="false">
      <c r="A87" s="20" t="n">
        <v>86</v>
      </c>
      <c r="B87" s="20" t="n">
        <v>15665</v>
      </c>
      <c r="C87" s="20" t="s">
        <v>69</v>
      </c>
      <c r="D87" s="8" t="n">
        <v>2222.21</v>
      </c>
      <c r="E87" s="19" t="n">
        <v>0.316151245941048</v>
      </c>
      <c r="F87" s="8" t="n">
        <v>702.554460242656</v>
      </c>
      <c r="G87" s="8" t="n">
        <v>1564.33269973466</v>
      </c>
      <c r="H87" s="20" t="n">
        <v>169</v>
      </c>
      <c r="I87" s="21" t="n">
        <v>116.8</v>
      </c>
      <c r="J87" s="20" t="s">
        <v>86</v>
      </c>
      <c r="K87" s="20" t="s">
        <v>74</v>
      </c>
      <c r="L87" s="20" t="s">
        <v>72</v>
      </c>
    </row>
    <row r="88" customFormat="false" ht="15" hidden="false" customHeight="false" outlineLevel="0" collapsed="false">
      <c r="A88" s="20" t="n">
        <v>87</v>
      </c>
      <c r="B88" s="20" t="n">
        <v>12653</v>
      </c>
      <c r="C88" s="20" t="s">
        <v>81</v>
      </c>
      <c r="D88" s="8" t="n">
        <v>2209.85</v>
      </c>
      <c r="E88" s="19" t="n">
        <v>0.318131237459402</v>
      </c>
      <c r="F88" s="8" t="n">
        <v>703.02231509966</v>
      </c>
      <c r="G88" s="8" t="n">
        <v>1196.05144866049</v>
      </c>
      <c r="H88" s="20" t="n">
        <v>149</v>
      </c>
      <c r="I88" s="21" t="n">
        <v>189</v>
      </c>
      <c r="J88" s="20" t="s">
        <v>86</v>
      </c>
      <c r="K88" s="20" t="s">
        <v>74</v>
      </c>
      <c r="L88" s="20" t="s">
        <v>92</v>
      </c>
    </row>
    <row r="89" customFormat="false" ht="15" hidden="false" customHeight="false" outlineLevel="0" collapsed="false">
      <c r="A89" s="20" t="n">
        <v>88</v>
      </c>
      <c r="B89" s="20" t="n">
        <v>14776</v>
      </c>
      <c r="C89" s="20" t="s">
        <v>69</v>
      </c>
      <c r="D89" s="8" t="n">
        <v>2195.58</v>
      </c>
      <c r="E89" s="19" t="n">
        <v>0.113669973951049</v>
      </c>
      <c r="F89" s="8" t="n">
        <v>249.571521407444</v>
      </c>
      <c r="G89" s="8" t="n">
        <v>2167.20545207964</v>
      </c>
      <c r="H89" s="20" t="n">
        <v>52</v>
      </c>
      <c r="I89" s="21" t="n">
        <v>30.4</v>
      </c>
      <c r="J89" s="20" t="s">
        <v>76</v>
      </c>
      <c r="K89" s="20" t="s">
        <v>71</v>
      </c>
      <c r="L89" s="20" t="s">
        <v>72</v>
      </c>
    </row>
    <row r="90" customFormat="false" ht="15" hidden="false" customHeight="false" outlineLevel="0" collapsed="false">
      <c r="A90" s="20" t="n">
        <v>89</v>
      </c>
      <c r="B90" s="20" t="n">
        <v>15797</v>
      </c>
      <c r="C90" s="20" t="s">
        <v>69</v>
      </c>
      <c r="D90" s="8" t="n">
        <v>2192.4</v>
      </c>
      <c r="E90" s="19" t="n">
        <v>0.3299918775639</v>
      </c>
      <c r="F90" s="8" t="n">
        <v>723.474192371094</v>
      </c>
      <c r="G90" s="8" t="n">
        <v>1162.84556579308</v>
      </c>
      <c r="H90" s="20" t="n">
        <v>114</v>
      </c>
      <c r="I90" s="21" t="n">
        <v>142</v>
      </c>
      <c r="J90" s="20" t="s">
        <v>86</v>
      </c>
      <c r="K90" s="20" t="s">
        <v>74</v>
      </c>
      <c r="L90" s="20" t="s">
        <v>72</v>
      </c>
    </row>
    <row r="91" customFormat="false" ht="15" hidden="false" customHeight="false" outlineLevel="0" collapsed="false">
      <c r="A91" s="20" t="n">
        <v>90</v>
      </c>
      <c r="B91" s="20" t="n">
        <v>13365</v>
      </c>
      <c r="C91" s="20" t="s">
        <v>69</v>
      </c>
      <c r="D91" s="8" t="n">
        <v>2191.22</v>
      </c>
      <c r="E91" s="19" t="n">
        <v>0.258109161089313</v>
      </c>
      <c r="F91" s="8" t="n">
        <v>565.573955962124</v>
      </c>
      <c r="G91" s="8" t="n">
        <v>1675.36199676222</v>
      </c>
      <c r="H91" s="20" t="n">
        <v>9</v>
      </c>
      <c r="I91" s="21" t="n">
        <v>184</v>
      </c>
      <c r="J91" s="20" t="s">
        <v>73</v>
      </c>
      <c r="K91" s="20" t="s">
        <v>74</v>
      </c>
      <c r="L91" s="20" t="s">
        <v>87</v>
      </c>
    </row>
    <row r="92" customFormat="false" ht="15" hidden="false" customHeight="false" outlineLevel="0" collapsed="false">
      <c r="A92" s="20" t="n">
        <v>91</v>
      </c>
      <c r="B92" s="20" t="n">
        <v>13317</v>
      </c>
      <c r="C92" s="20" t="s">
        <v>69</v>
      </c>
      <c r="D92" s="8" t="n">
        <v>2159.87</v>
      </c>
      <c r="E92" s="19" t="n">
        <v>0.114064084522756</v>
      </c>
      <c r="F92" s="8" t="n">
        <v>246.363594238166</v>
      </c>
      <c r="G92" s="8" t="n">
        <v>2573.7678026883</v>
      </c>
      <c r="H92" s="20" t="n">
        <v>67</v>
      </c>
      <c r="I92" s="21" t="n">
        <v>36.7</v>
      </c>
      <c r="J92" s="20" t="s">
        <v>76</v>
      </c>
      <c r="K92" s="20" t="s">
        <v>71</v>
      </c>
      <c r="L92" s="20" t="s">
        <v>72</v>
      </c>
    </row>
    <row r="93" customFormat="false" ht="15" hidden="false" customHeight="false" outlineLevel="0" collapsed="false">
      <c r="A93" s="20" t="n">
        <v>92</v>
      </c>
      <c r="B93" s="20" t="n">
        <v>13224</v>
      </c>
      <c r="C93" s="20" t="s">
        <v>69</v>
      </c>
      <c r="D93" s="8" t="n">
        <v>2147.85</v>
      </c>
      <c r="E93" s="19" t="n">
        <v>0.277737768139453</v>
      </c>
      <c r="F93" s="8" t="n">
        <v>596.539065298324</v>
      </c>
      <c r="G93" s="8" t="n">
        <v>1510.46891560612</v>
      </c>
      <c r="H93" s="20" t="n">
        <v>61</v>
      </c>
      <c r="I93" s="21" t="n">
        <v>91</v>
      </c>
      <c r="J93" s="20" t="s">
        <v>73</v>
      </c>
      <c r="K93" s="20" t="s">
        <v>74</v>
      </c>
      <c r="L93" s="20" t="s">
        <v>82</v>
      </c>
    </row>
    <row r="94" customFormat="false" ht="15" hidden="false" customHeight="false" outlineLevel="0" collapsed="false">
      <c r="A94" s="20" t="n">
        <v>93</v>
      </c>
      <c r="B94" s="20" t="n">
        <v>14828</v>
      </c>
      <c r="C94" s="20" t="s">
        <v>69</v>
      </c>
      <c r="D94" s="8" t="n">
        <v>2139.76</v>
      </c>
      <c r="E94" s="19" t="n">
        <v>0.32941500200773</v>
      </c>
      <c r="F94" s="8" t="n">
        <v>704.869044696059</v>
      </c>
      <c r="G94" s="8" t="n">
        <v>3015.58444309061</v>
      </c>
      <c r="H94" s="20" t="n">
        <v>197</v>
      </c>
      <c r="I94" s="21" t="n">
        <v>44.7</v>
      </c>
      <c r="J94" s="20" t="s">
        <v>70</v>
      </c>
      <c r="K94" s="20" t="s">
        <v>78</v>
      </c>
      <c r="L94" s="20" t="s">
        <v>79</v>
      </c>
    </row>
    <row r="95" customFormat="false" ht="15" hidden="false" customHeight="false" outlineLevel="0" collapsed="false">
      <c r="A95" s="20" t="n">
        <v>94</v>
      </c>
      <c r="B95" s="20" t="n">
        <v>14360</v>
      </c>
      <c r="C95" s="20" t="s">
        <v>69</v>
      </c>
      <c r="D95" s="8" t="n">
        <v>2118.03</v>
      </c>
      <c r="E95" s="19" t="n">
        <v>0.192992697399046</v>
      </c>
      <c r="F95" s="8" t="n">
        <v>408.764322872102</v>
      </c>
      <c r="G95" s="8" t="n">
        <v>2343.60627857069</v>
      </c>
      <c r="H95" s="20" t="n">
        <v>32</v>
      </c>
      <c r="I95" s="21" t="n">
        <v>21</v>
      </c>
      <c r="J95" s="20" t="s">
        <v>76</v>
      </c>
      <c r="K95" s="20" t="s">
        <v>71</v>
      </c>
      <c r="L95" s="20" t="s">
        <v>87</v>
      </c>
    </row>
    <row r="96" customFormat="false" ht="15" hidden="false" customHeight="false" outlineLevel="0" collapsed="false">
      <c r="A96" s="20" t="n">
        <v>95</v>
      </c>
      <c r="B96" s="20" t="n">
        <v>18008</v>
      </c>
      <c r="C96" s="20" t="s">
        <v>69</v>
      </c>
      <c r="D96" s="8" t="n">
        <v>2116.19</v>
      </c>
      <c r="E96" s="19" t="n">
        <v>0.151987756472754</v>
      </c>
      <c r="F96" s="8" t="n">
        <v>321.634970370077</v>
      </c>
      <c r="G96" s="8" t="n">
        <v>8360.93936473877</v>
      </c>
      <c r="H96" s="20" t="n">
        <v>71</v>
      </c>
      <c r="I96" s="21" t="n">
        <v>28.7</v>
      </c>
      <c r="J96" s="20" t="s">
        <v>76</v>
      </c>
      <c r="K96" s="20" t="s">
        <v>71</v>
      </c>
      <c r="L96" s="20" t="s">
        <v>72</v>
      </c>
    </row>
    <row r="97" customFormat="false" ht="15" hidden="false" customHeight="false" outlineLevel="0" collapsed="false">
      <c r="A97" s="20" t="n">
        <v>96</v>
      </c>
      <c r="B97" s="20" t="n">
        <v>18173</v>
      </c>
      <c r="C97" s="20" t="s">
        <v>69</v>
      </c>
      <c r="D97" s="8" t="n">
        <v>2106.84</v>
      </c>
      <c r="E97" s="19" t="n">
        <v>0.258870467110097</v>
      </c>
      <c r="F97" s="8" t="n">
        <v>545.398654926238</v>
      </c>
      <c r="G97" s="8" t="n">
        <v>1113.089452965</v>
      </c>
      <c r="H97" s="20" t="n">
        <v>87</v>
      </c>
      <c r="I97" s="21" t="n">
        <v>131.5</v>
      </c>
      <c r="J97" s="20" t="s">
        <v>86</v>
      </c>
      <c r="K97" s="20" t="s">
        <v>74</v>
      </c>
      <c r="L97" s="20" t="s">
        <v>72</v>
      </c>
    </row>
    <row r="98" customFormat="false" ht="15" hidden="false" customHeight="false" outlineLevel="0" collapsed="false">
      <c r="A98" s="20" t="n">
        <v>97</v>
      </c>
      <c r="B98" s="20" t="n">
        <v>14461</v>
      </c>
      <c r="C98" s="20" t="s">
        <v>69</v>
      </c>
      <c r="D98" s="8" t="n">
        <v>2102.67</v>
      </c>
      <c r="E98" s="19" t="n">
        <v>0.26614339257532</v>
      </c>
      <c r="F98" s="8" t="n">
        <v>559.611727266349</v>
      </c>
      <c r="G98" s="8" t="n">
        <v>2625.45749660088</v>
      </c>
      <c r="H98" s="20" t="n">
        <v>149</v>
      </c>
      <c r="I98" s="21" t="n">
        <v>45.2</v>
      </c>
      <c r="J98" s="20" t="s">
        <v>70</v>
      </c>
      <c r="K98" s="20" t="s">
        <v>78</v>
      </c>
      <c r="L98" s="20" t="s">
        <v>72</v>
      </c>
    </row>
    <row r="99" customFormat="false" ht="15" hidden="false" customHeight="false" outlineLevel="0" collapsed="false">
      <c r="A99" s="20" t="n">
        <v>98</v>
      </c>
      <c r="B99" s="20" t="n">
        <v>17400</v>
      </c>
      <c r="C99" s="20" t="s">
        <v>69</v>
      </c>
      <c r="D99" s="8" t="n">
        <v>2097.84</v>
      </c>
      <c r="E99" s="19" t="n">
        <v>0.295525281151894</v>
      </c>
      <c r="F99" s="8" t="n">
        <v>619.96475581169</v>
      </c>
      <c r="G99" s="8" t="n">
        <v>1646.72574726708</v>
      </c>
      <c r="H99" s="20" t="n">
        <v>127</v>
      </c>
      <c r="I99" s="21" t="n">
        <v>85.1</v>
      </c>
      <c r="J99" s="20" t="s">
        <v>86</v>
      </c>
      <c r="K99" s="20" t="s">
        <v>74</v>
      </c>
      <c r="L99" s="20" t="s">
        <v>72</v>
      </c>
    </row>
    <row r="100" customFormat="false" ht="15" hidden="false" customHeight="false" outlineLevel="0" collapsed="false">
      <c r="A100" s="20" t="n">
        <v>99</v>
      </c>
      <c r="B100" s="20" t="n">
        <v>14407</v>
      </c>
      <c r="C100" s="20" t="s">
        <v>69</v>
      </c>
      <c r="D100" s="8" t="n">
        <v>2096.08</v>
      </c>
      <c r="E100" s="19" t="n">
        <v>0.290549339079878</v>
      </c>
      <c r="F100" s="8" t="n">
        <v>609.01465865855</v>
      </c>
      <c r="G100" s="8" t="n">
        <v>1761.23255696381</v>
      </c>
      <c r="H100" s="20" t="n">
        <v>108</v>
      </c>
      <c r="I100" s="21" t="n">
        <v>42.3</v>
      </c>
      <c r="J100" s="20" t="s">
        <v>76</v>
      </c>
      <c r="K100" s="20" t="s">
        <v>78</v>
      </c>
      <c r="L100" s="20" t="s">
        <v>72</v>
      </c>
    </row>
    <row r="101" customFormat="false" ht="15" hidden="false" customHeight="false" outlineLevel="0" collapsed="false">
      <c r="A101" s="20" t="n">
        <v>100</v>
      </c>
      <c r="B101" s="20" t="n">
        <v>15235</v>
      </c>
      <c r="C101" s="20" t="s">
        <v>69</v>
      </c>
      <c r="D101" s="8" t="n">
        <v>2082.46</v>
      </c>
      <c r="E101" s="19" t="n">
        <v>0.472374355511144</v>
      </c>
      <c r="F101" s="8" t="n">
        <v>983.700700377736</v>
      </c>
      <c r="G101" s="8" t="n">
        <v>102.4278166513</v>
      </c>
      <c r="H101" s="20" t="n">
        <v>218</v>
      </c>
      <c r="I101" s="21" t="n">
        <v>11.4</v>
      </c>
      <c r="J101" s="20" t="s">
        <v>70</v>
      </c>
      <c r="K101" s="20" t="s">
        <v>78</v>
      </c>
      <c r="L101" s="2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2026-09-29T17:13:21Z</dcterms:created>
  <dc:creator>openpyxl</dc:creator>
  <dc:description/>
  <dc:language>en-US</dc:language>
  <cp:lastModifiedBy/>
  <dcterms:modified xsi:type="dcterms:W3CDTF">2026-09-29T17:13:21Z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